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lbarra\Documents\Mis ficheros\FICHEROS CREADOS\ARTICULOS\CIENTÍFICOS\CARTERAS\04 RIBF\"/>
    </mc:Choice>
  </mc:AlternateContent>
  <xr:revisionPtr revIDLastSave="0" documentId="13_ncr:1_{6E9E1984-4F54-4F07-8B9C-B7526A161AE0}" xr6:coauthVersionLast="47" xr6:coauthVersionMax="47" xr10:uidLastSave="{00000000-0000-0000-0000-000000000000}"/>
  <bookViews>
    <workbookView xWindow="-108" yWindow="-108" windowWidth="23256" windowHeight="14016" xr2:uid="{380470C3-F98C-4391-BE7F-F8253F6D8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1" l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<sst xmlns="http://schemas.openxmlformats.org/spreadsheetml/2006/main" count="29" uniqueCount="29">
  <si>
    <t>caso</t>
  </si>
  <si>
    <t>rate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</si>
  <si>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</si>
  <si>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</si>
  <si>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</si>
  <si>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</si>
  <si>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</si>
  <si>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</si>
  <si>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</si>
  <si>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</si>
  <si>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</si>
  <si>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</si>
  <si>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</si>
  <si>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</si>
  <si>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H_13</t>
  </si>
  <si>
    <t>H_14</t>
  </si>
  <si>
    <t>H_15</t>
  </si>
  <si>
    <t>H_16</t>
  </si>
  <si>
    <t>H_17</t>
  </si>
  <si>
    <t>H_18</t>
  </si>
  <si>
    <t>H_19</t>
  </si>
  <si>
    <t>H_20</t>
  </si>
  <si>
    <t>H_21</t>
  </si>
  <si>
    <t>H_22</t>
  </si>
  <si>
    <t>caso_0</t>
  </si>
  <si>
    <t>DP_global</t>
  </si>
  <si>
    <t>bono10A</t>
  </si>
  <si>
    <t>inflacion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</si>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</sst>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1" applyNumberFormat="1" applyFont="1"/>
    <xf numFmtId="0" fontId="0" fillId="0" borderId="0" xfId="0" quotePrefix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7B3D-BF89-4B08-B22B-08563BAD9FDB}">
  <dimension ref="A4:X7"/>
  <sheetViews>
    <sheetView tabSelected="1" workbookViewId="0">
      <selection activeCell="A11" sqref="A11"/>
    </sheetView>
  </sheetViews>
  <sheetFormatPr baseColWidth="10" defaultRowHeight="14.4" x14ac:dyDescent="0.3"/>
  <sheetData>
    <row r="4" spans="1:24" x14ac:dyDescent="0.3">
      <c r="A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</row>
    <row r="5" spans="1:24" x14ac:dyDescent="0.3">
      <c r="A5" t="s">
        <v>24</v>
      </c>
      <c r="B5" s="2">
        <v>0</v>
      </c>
      <c r="C5" s="3">
        <f>+(1+$B5)^(COUNTA($C3:C3))-1</f>
        <v>0</v>
      </c>
      <c r="D5" s="3">
        <f>+(1+$B5)^(COUNTA($C3:D3))-1</f>
        <v>0</v>
      </c>
      <c r="E5" s="3">
        <f>+(1+$B5)^(COUNTA($C3:E3))-1</f>
        <v>0</v>
      </c>
      <c r="F5" s="3">
        <f>+(1+$B5)^(COUNTA($C3:F3))-1</f>
        <v>0</v>
      </c>
      <c r="G5" s="3">
        <f>+(1+$B5)^(COUNTA($C3:G3))-1</f>
        <v>0</v>
      </c>
      <c r="H5" s="3">
        <f>+(1+$B5)^(COUNTA($C3:H3))-1</f>
        <v>0</v>
      </c>
      <c r="I5" s="3">
        <f>+(1+$B5)^(COUNTA($C3:I3))-1</f>
        <v>0</v>
      </c>
      <c r="J5" s="3">
        <f>+(1+$B5)^(COUNTA($C3:J3))-1</f>
        <v>0</v>
      </c>
      <c r="K5" s="3">
        <f>+(1+$B5)^(COUNTA($C3:K3))-1</f>
        <v>0</v>
      </c>
      <c r="L5" s="3">
        <f>+(1+$B5)^(COUNTA($C3:L3))-1</f>
        <v>0</v>
      </c>
      <c r="M5" s="3">
        <f>+(1+$B5)^(COUNTA($C3:M3))-1</f>
        <v>0</v>
      </c>
      <c r="N5" s="3">
        <f>+(1+$B5)^(COUNTA($C3:N3))-1</f>
        <v>0</v>
      </c>
      <c r="O5" s="3">
        <f>+(1+$B5)^(COUNTA($C3:O3))-1</f>
        <v>0</v>
      </c>
      <c r="P5" s="3">
        <f>+(1+$B5)^(COUNTA($C3:P3))-1</f>
        <v>0</v>
      </c>
      <c r="Q5" s="3">
        <f>+(1+$B5)^(COUNTA($C3:Q3))-1</f>
        <v>0</v>
      </c>
      <c r="R5" s="3">
        <f>+(1+$B5)^(COUNTA($C3:R3))-1</f>
        <v>0</v>
      </c>
      <c r="S5" s="3">
        <f>+(1+$B5)^(COUNTA($C3:S3))-1</f>
        <v>0</v>
      </c>
      <c r="T5" s="3">
        <f>+(1+$B5)^(COUNTA($C3:T3))-1</f>
        <v>0</v>
      </c>
      <c r="U5" s="3">
        <f>+(1+$B5)^(COUNTA($C3:U3))-1</f>
        <v>0</v>
      </c>
      <c r="V5" s="3">
        <f>+(1+$B5)^(COUNTA($C3:V3))-1</f>
        <v>0</v>
      </c>
      <c r="W5" s="3">
        <f>+(1+$B5)^(COUNTA($C3:W3))-1</f>
        <v>0</v>
      </c>
      <c r="X5" s="3">
        <f>+(1+$B5)^(COUNTA($C3:X3))-1</f>
        <v>0</v>
      </c>
    </row>
    <row r="6" spans="1:24" x14ac:dyDescent="0.3">
      <c r="A6" s="4" t="s">
        <v>27</v>
      </c>
      <c r="B6" t="s">
        <v>28</v>
      </c>
      <c r="C6" s="3">
        <v>2.4153200842946587E-2</v>
      </c>
      <c r="D6" s="3">
        <v>4.8622411857467407E-2</v>
      </c>
      <c r="E6" s="3">
        <v>7.3284744932879731E-2</v>
      </c>
      <c r="F6" s="3">
        <v>9.8184053053404829E-2</v>
      </c>
      <c r="G6" s="3">
        <v>0.12293814386389279</v>
      </c>
      <c r="H6" s="3">
        <v>0.14732215483891098</v>
      </c>
      <c r="I6" s="3">
        <v>0.17162907444732656</v>
      </c>
      <c r="J6" s="3">
        <v>0.19591767375931846</v>
      </c>
      <c r="K6" s="3">
        <v>0.22026127616151792</v>
      </c>
      <c r="L6" s="3">
        <v>0.24460800092085688</v>
      </c>
      <c r="M6" s="3">
        <v>0.26904821681289626</v>
      </c>
      <c r="N6" s="3">
        <v>0.29380384213289679</v>
      </c>
      <c r="O6" s="3">
        <v>0.31901380849855454</v>
      </c>
      <c r="P6" s="3">
        <v>0.34477192783272348</v>
      </c>
      <c r="Q6" s="3">
        <v>0.37096549270590073</v>
      </c>
      <c r="R6" s="3">
        <v>0.39769170455299441</v>
      </c>
      <c r="S6" s="3">
        <v>0.42511387916873522</v>
      </c>
      <c r="T6" s="3">
        <v>0.45351506532380936</v>
      </c>
      <c r="U6" s="3">
        <v>0.48305825916398715</v>
      </c>
      <c r="V6" s="3">
        <v>0.51374843948507887</v>
      </c>
      <c r="W6" s="3">
        <v>0.54575345110081352</v>
      </c>
      <c r="X6" s="3">
        <v>0.57924395005594298</v>
      </c>
    </row>
    <row r="7" spans="1:24" x14ac:dyDescent="0.3">
      <c r="A7" t="s">
        <v>25</v>
      </c>
      <c r="B7" s="2" t="s">
        <v>26</v>
      </c>
      <c r="C7" s="3">
        <v>3.4260407407407323E-2</v>
      </c>
      <c r="D7" s="3">
        <v>6.9442310699829424E-2</v>
      </c>
      <c r="E7" s="3">
        <v>0.1054110191041131</v>
      </c>
      <c r="F7" s="3">
        <v>0.14212665975620897</v>
      </c>
      <c r="G7" s="3">
        <v>0.17967317702298735</v>
      </c>
      <c r="H7" s="3">
        <v>0.2183312253364722</v>
      </c>
      <c r="I7" s="3">
        <v>0.25831142684677699</v>
      </c>
      <c r="J7" s="3">
        <v>0.29983417197855955</v>
      </c>
      <c r="K7" s="3">
        <v>0.34308330755202321</v>
      </c>
      <c r="L7" s="3">
        <v>0.38819501445468951</v>
      </c>
      <c r="M7" s="3">
        <v>0.43526225077603975</v>
      </c>
      <c r="N7" s="3">
        <v>0.48444240292795882</v>
      </c>
      <c r="O7" s="3">
        <v>0.53573324582555459</v>
      </c>
      <c r="P7" s="3">
        <v>0.58891098844182221</v>
      </c>
      <c r="Q7" s="3">
        <v>0.64379742778903482</v>
      </c>
      <c r="R7" s="3">
        <v>0.70009168557939194</v>
      </c>
      <c r="S7" s="3">
        <v>0.75767981498247616</v>
      </c>
      <c r="T7" s="3">
        <v>0.81663963827309027</v>
      </c>
      <c r="U7" s="3">
        <v>0.87698243092655037</v>
      </c>
      <c r="V7" s="3">
        <v>0.93879284030729937</v>
      </c>
      <c r="W7" s="3">
        <v>1.0022596146900522</v>
      </c>
      <c r="X7" s="3">
        <v>1.0676910128489894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Carlos III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González Pablo Jesús</dc:creator>
  <cp:lastModifiedBy>Alonso González Pablo Jesús</cp:lastModifiedBy>
  <dcterms:created xsi:type="dcterms:W3CDTF">2026-02-03T12:37:21Z</dcterms:created>
  <dcterms:modified xsi:type="dcterms:W3CDTF">2026-02-03T12:43:22Z</dcterms:modified>
</cp:coreProperties>
</file>