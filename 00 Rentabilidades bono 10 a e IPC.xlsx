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lbarra\Documents\Mis ficheros\FICHEROS CREADOS\ARTICULOS\CIENTÍFICOS\CARTERAS\04 RIBF\"/>
    </mc:Choice>
  </mc:AlternateContent>
  <xr:revisionPtr revIDLastSave="0" documentId="13_ncr:1_{20C936A1-3098-4168-85A1-91B0644D158A}" xr6:coauthVersionLast="47" xr6:coauthVersionMax="47" xr10:uidLastSave="{00000000-0000-0000-0000-000000000000}"/>
  <bookViews>
    <workbookView xWindow="-108" yWindow="-108" windowWidth="23256" windowHeight="14016" activeTab="3" xr2:uid="{F8B89612-1E1F-41CF-9FB2-CF567F1B2C0E}"/>
  </bookViews>
  <sheets>
    <sheet name="bono 10a esp" sheetId="2" r:id="rId1"/>
    <sheet name="ipc" sheetId="1" r:id="rId2"/>
    <sheet name="selec10a" sheetId="3" r:id="rId3"/>
    <sheet name="selecip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3" i="4" l="1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E38" i="1"/>
  <c r="P34" i="1"/>
  <c r="P33" i="1"/>
  <c r="F33" i="1"/>
  <c r="E33" i="1"/>
  <c r="D33" i="1"/>
  <c r="R33" i="1" s="1"/>
  <c r="D32" i="1"/>
  <c r="P32" i="1" s="1"/>
  <c r="R31" i="1"/>
  <c r="D31" i="1"/>
  <c r="Q31" i="1" s="1"/>
  <c r="D30" i="1"/>
  <c r="F30" i="1" s="1"/>
  <c r="Q29" i="1"/>
  <c r="P29" i="1"/>
  <c r="D29" i="1"/>
  <c r="F29" i="1" s="1"/>
  <c r="P28" i="1"/>
  <c r="F28" i="1"/>
  <c r="E28" i="1"/>
  <c r="D28" i="1"/>
  <c r="F27" i="1"/>
  <c r="E27" i="1"/>
  <c r="D27" i="1"/>
  <c r="R27" i="1" s="1"/>
  <c r="D26" i="1"/>
  <c r="P26" i="1" s="1"/>
  <c r="D25" i="1"/>
  <c r="F24" i="1" s="1"/>
  <c r="P24" i="1"/>
  <c r="D24" i="1"/>
  <c r="E24" i="1" s="1"/>
  <c r="D23" i="1"/>
  <c r="F23" i="1" s="1"/>
  <c r="F22" i="1"/>
  <c r="E22" i="1"/>
  <c r="D22" i="1"/>
  <c r="P22" i="1" s="1"/>
  <c r="F21" i="1"/>
  <c r="E21" i="1"/>
  <c r="D21" i="1"/>
  <c r="R21" i="1" s="1"/>
  <c r="D20" i="1"/>
  <c r="P20" i="1" s="1"/>
  <c r="R19" i="1"/>
  <c r="D19" i="1"/>
  <c r="Q19" i="1" s="1"/>
  <c r="D18" i="1"/>
  <c r="F18" i="1" s="1"/>
  <c r="Q17" i="1"/>
  <c r="P17" i="1"/>
  <c r="D17" i="1"/>
  <c r="F17" i="1" s="1"/>
  <c r="F16" i="1"/>
  <c r="E16" i="1"/>
  <c r="D16" i="1"/>
  <c r="F15" i="1"/>
  <c r="E15" i="1"/>
  <c r="D15" i="1"/>
  <c r="R15" i="1" s="1"/>
  <c r="D14" i="1"/>
  <c r="Q13" i="1" s="1"/>
  <c r="D13" i="1"/>
  <c r="P13" i="1" s="1"/>
  <c r="D12" i="1"/>
  <c r="F12" i="1" s="1"/>
  <c r="D11" i="1"/>
  <c r="S11" i="1" s="1"/>
  <c r="D10" i="1"/>
  <c r="D9" i="1"/>
  <c r="R9" i="1" s="1"/>
  <c r="F8" i="1"/>
  <c r="E8" i="1"/>
  <c r="D8" i="1"/>
  <c r="S8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D7" i="1"/>
  <c r="F7" i="1" s="1"/>
  <c r="F6" i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Z33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Y33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X33" i="2"/>
  <c r="W3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P22" i="2"/>
  <c r="P23" i="2"/>
  <c r="P24" i="2"/>
  <c r="P25" i="2"/>
  <c r="P26" i="2"/>
  <c r="P27" i="2"/>
  <c r="P28" i="2"/>
  <c r="P29" i="2"/>
  <c r="P30" i="2"/>
  <c r="P31" i="2"/>
  <c r="P32" i="2"/>
  <c r="P33" i="2"/>
  <c r="P21" i="2"/>
  <c r="O23" i="2"/>
  <c r="N24" i="2"/>
  <c r="M25" i="2"/>
  <c r="L26" i="2"/>
  <c r="K27" i="2"/>
  <c r="J28" i="2"/>
  <c r="I29" i="2"/>
  <c r="H33" i="2"/>
  <c r="H30" i="2"/>
  <c r="G31" i="2"/>
  <c r="F32" i="2"/>
  <c r="F7" i="2"/>
  <c r="P34" i="2"/>
  <c r="O24" i="2"/>
  <c r="O25" i="2"/>
  <c r="O26" i="2"/>
  <c r="O27" i="2"/>
  <c r="O28" i="2"/>
  <c r="O29" i="2"/>
  <c r="O30" i="2"/>
  <c r="O31" i="2"/>
  <c r="O32" i="2"/>
  <c r="O33" i="2"/>
  <c r="N25" i="2"/>
  <c r="N26" i="2"/>
  <c r="N27" i="2"/>
  <c r="N28" i="2"/>
  <c r="N29" i="2"/>
  <c r="N30" i="2"/>
  <c r="N31" i="2"/>
  <c r="N32" i="2"/>
  <c r="N33" i="2"/>
  <c r="M26" i="2"/>
  <c r="M27" i="2"/>
  <c r="M28" i="2"/>
  <c r="M29" i="2"/>
  <c r="M30" i="2"/>
  <c r="M31" i="2"/>
  <c r="M32" i="2"/>
  <c r="M33" i="2"/>
  <c r="L27" i="2"/>
  <c r="L28" i="2"/>
  <c r="L29" i="2"/>
  <c r="L30" i="2"/>
  <c r="L31" i="2"/>
  <c r="L32" i="2"/>
  <c r="L33" i="2"/>
  <c r="K28" i="2"/>
  <c r="K29" i="2"/>
  <c r="K30" i="2"/>
  <c r="K31" i="2"/>
  <c r="K32" i="2"/>
  <c r="K33" i="2"/>
  <c r="J29" i="2"/>
  <c r="J30" i="2"/>
  <c r="J31" i="2"/>
  <c r="J32" i="2"/>
  <c r="J33" i="2"/>
  <c r="I30" i="2"/>
  <c r="I31" i="2"/>
  <c r="I32" i="2"/>
  <c r="I33" i="2"/>
  <c r="H31" i="2"/>
  <c r="H32" i="2"/>
  <c r="G32" i="2"/>
  <c r="G33" i="2"/>
  <c r="F33" i="2"/>
  <c r="E32" i="2"/>
  <c r="E33" i="2"/>
  <c r="D32" i="2"/>
  <c r="D33" i="2"/>
  <c r="A32" i="2"/>
  <c r="A33" i="2"/>
  <c r="D31" i="2"/>
  <c r="F30" i="2"/>
  <c r="D30" i="2"/>
  <c r="D29" i="2"/>
  <c r="D28" i="2"/>
  <c r="D27" i="2"/>
  <c r="D26" i="2"/>
  <c r="D25" i="2"/>
  <c r="D24" i="2"/>
  <c r="F23" i="2"/>
  <c r="D23" i="2"/>
  <c r="G22" i="2"/>
  <c r="F22" i="2"/>
  <c r="D22" i="2"/>
  <c r="K21" i="2"/>
  <c r="D21" i="2"/>
  <c r="F21" i="2" s="1"/>
  <c r="L20" i="2"/>
  <c r="F20" i="2"/>
  <c r="D20" i="2"/>
  <c r="M19" i="2"/>
  <c r="G19" i="2"/>
  <c r="D19" i="2"/>
  <c r="N18" i="2"/>
  <c r="F18" i="2"/>
  <c r="D18" i="2"/>
  <c r="R17" i="2"/>
  <c r="D17" i="2"/>
  <c r="S16" i="2"/>
  <c r="D16" i="2"/>
  <c r="D15" i="2"/>
  <c r="R15" i="2" s="1"/>
  <c r="D14" i="2"/>
  <c r="N14" i="2" s="1"/>
  <c r="D13" i="2"/>
  <c r="W13" i="2" s="1"/>
  <c r="D12" i="2"/>
  <c r="P12" i="2" s="1"/>
  <c r="F11" i="2"/>
  <c r="D11" i="2"/>
  <c r="Y11" i="2" s="1"/>
  <c r="G10" i="2"/>
  <c r="F10" i="2"/>
  <c r="D10" i="2"/>
  <c r="X10" i="2" s="1"/>
  <c r="K9" i="2"/>
  <c r="D9" i="2"/>
  <c r="F9" i="2" s="1"/>
  <c r="L8" i="2"/>
  <c r="F8" i="2"/>
  <c r="D8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N7" i="2"/>
  <c r="D7" i="2"/>
  <c r="M7" i="2" s="1"/>
  <c r="F6" i="2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Q12" i="1" l="1"/>
  <c r="R12" i="1"/>
  <c r="P15" i="1"/>
  <c r="R17" i="1"/>
  <c r="E20" i="1"/>
  <c r="E25" i="1"/>
  <c r="P27" i="1"/>
  <c r="R29" i="1"/>
  <c r="E32" i="1"/>
  <c r="Q15" i="1"/>
  <c r="F20" i="1"/>
  <c r="F25" i="1"/>
  <c r="Q27" i="1"/>
  <c r="F32" i="1"/>
  <c r="Q9" i="1"/>
  <c r="G13" i="1"/>
  <c r="E18" i="1"/>
  <c r="E23" i="1"/>
  <c r="P25" i="1"/>
  <c r="E30" i="1"/>
  <c r="Q25" i="1"/>
  <c r="P18" i="1"/>
  <c r="P23" i="1"/>
  <c r="R25" i="1"/>
  <c r="P30" i="1"/>
  <c r="G10" i="1"/>
  <c r="R13" i="1"/>
  <c r="Q23" i="1"/>
  <c r="P7" i="1"/>
  <c r="F14" i="1"/>
  <c r="P16" i="1"/>
  <c r="E19" i="1"/>
  <c r="P21" i="1"/>
  <c r="R23" i="1"/>
  <c r="E26" i="1"/>
  <c r="E31" i="1"/>
  <c r="Q7" i="1"/>
  <c r="E11" i="1"/>
  <c r="G14" i="1"/>
  <c r="F19" i="1"/>
  <c r="Q21" i="1"/>
  <c r="F26" i="1"/>
  <c r="F31" i="1"/>
  <c r="Q33" i="1"/>
  <c r="F11" i="1"/>
  <c r="P14" i="1"/>
  <c r="E17" i="1"/>
  <c r="P19" i="1"/>
  <c r="E29" i="1"/>
  <c r="P31" i="1"/>
  <c r="R7" i="1"/>
  <c r="U9" i="1"/>
  <c r="I9" i="1"/>
  <c r="T9" i="1"/>
  <c r="H9" i="1"/>
  <c r="O9" i="1"/>
  <c r="J9" i="1"/>
  <c r="Z9" i="1"/>
  <c r="N9" i="1"/>
  <c r="V9" i="1"/>
  <c r="Y9" i="1"/>
  <c r="M9" i="1"/>
  <c r="X9" i="1"/>
  <c r="L9" i="1"/>
  <c r="W9" i="1"/>
  <c r="K9" i="1"/>
  <c r="E12" i="1"/>
  <c r="S7" i="1"/>
  <c r="F9" i="1"/>
  <c r="R10" i="1"/>
  <c r="U12" i="1"/>
  <c r="I12" i="1"/>
  <c r="T12" i="1"/>
  <c r="H12" i="1"/>
  <c r="O12" i="1"/>
  <c r="Z12" i="1"/>
  <c r="N12" i="1"/>
  <c r="J12" i="1"/>
  <c r="Y12" i="1"/>
  <c r="M12" i="1"/>
  <c r="V12" i="1"/>
  <c r="X12" i="1"/>
  <c r="L12" i="1"/>
  <c r="W12" i="1"/>
  <c r="K12" i="1"/>
  <c r="Q10" i="1"/>
  <c r="G9" i="1"/>
  <c r="S10" i="1"/>
  <c r="G12" i="1"/>
  <c r="P10" i="1"/>
  <c r="E9" i="1"/>
  <c r="U14" i="1"/>
  <c r="I14" i="1"/>
  <c r="S14" i="1"/>
  <c r="T14" i="1"/>
  <c r="H14" i="1"/>
  <c r="O14" i="1"/>
  <c r="Z14" i="1"/>
  <c r="N14" i="1"/>
  <c r="Y14" i="1"/>
  <c r="M14" i="1"/>
  <c r="V14" i="1"/>
  <c r="X14" i="1"/>
  <c r="L14" i="1"/>
  <c r="J14" i="1"/>
  <c r="W14" i="1"/>
  <c r="K14" i="1"/>
  <c r="U8" i="1"/>
  <c r="I8" i="1"/>
  <c r="T8" i="1"/>
  <c r="H8" i="1"/>
  <c r="O8" i="1"/>
  <c r="Z8" i="1"/>
  <c r="N8" i="1"/>
  <c r="Y8" i="1"/>
  <c r="M8" i="1"/>
  <c r="J8" i="1"/>
  <c r="X8" i="1"/>
  <c r="L8" i="1"/>
  <c r="V8" i="1"/>
  <c r="W8" i="1"/>
  <c r="K8" i="1"/>
  <c r="P9" i="1"/>
  <c r="U11" i="1"/>
  <c r="I11" i="1"/>
  <c r="T11" i="1"/>
  <c r="H11" i="1"/>
  <c r="O11" i="1"/>
  <c r="J11" i="1"/>
  <c r="Z11" i="1"/>
  <c r="N11" i="1"/>
  <c r="Y11" i="1"/>
  <c r="M11" i="1"/>
  <c r="X11" i="1"/>
  <c r="L11" i="1"/>
  <c r="V11" i="1"/>
  <c r="W11" i="1"/>
  <c r="K11" i="1"/>
  <c r="P12" i="1"/>
  <c r="E14" i="1"/>
  <c r="U16" i="1"/>
  <c r="I16" i="1"/>
  <c r="S16" i="1"/>
  <c r="T16" i="1"/>
  <c r="H16" i="1"/>
  <c r="G16" i="1"/>
  <c r="O16" i="1"/>
  <c r="Z16" i="1"/>
  <c r="N16" i="1"/>
  <c r="J16" i="1"/>
  <c r="Y16" i="1"/>
  <c r="M16" i="1"/>
  <c r="V16" i="1"/>
  <c r="X16" i="1"/>
  <c r="L16" i="1"/>
  <c r="W16" i="1"/>
  <c r="K16" i="1"/>
  <c r="U18" i="1"/>
  <c r="I18" i="1"/>
  <c r="S18" i="1"/>
  <c r="T18" i="1"/>
  <c r="H18" i="1"/>
  <c r="G18" i="1"/>
  <c r="O18" i="1"/>
  <c r="V18" i="1"/>
  <c r="Z18" i="1"/>
  <c r="N18" i="1"/>
  <c r="Y18" i="1"/>
  <c r="M18" i="1"/>
  <c r="J18" i="1"/>
  <c r="X18" i="1"/>
  <c r="L18" i="1"/>
  <c r="W18" i="1"/>
  <c r="K18" i="1"/>
  <c r="U20" i="1"/>
  <c r="I20" i="1"/>
  <c r="S20" i="1"/>
  <c r="T20" i="1"/>
  <c r="H20" i="1"/>
  <c r="G20" i="1"/>
  <c r="O20" i="1"/>
  <c r="V20" i="1"/>
  <c r="Z20" i="1"/>
  <c r="N20" i="1"/>
  <c r="J20" i="1"/>
  <c r="Y20" i="1"/>
  <c r="M20" i="1"/>
  <c r="X20" i="1"/>
  <c r="L20" i="1"/>
  <c r="W20" i="1"/>
  <c r="K20" i="1"/>
  <c r="U22" i="1"/>
  <c r="I22" i="1"/>
  <c r="S22" i="1"/>
  <c r="T22" i="1"/>
  <c r="H22" i="1"/>
  <c r="G22" i="1"/>
  <c r="O22" i="1"/>
  <c r="V22" i="1"/>
  <c r="Z22" i="1"/>
  <c r="N22" i="1"/>
  <c r="J22" i="1"/>
  <c r="Y22" i="1"/>
  <c r="M22" i="1"/>
  <c r="X22" i="1"/>
  <c r="L22" i="1"/>
  <c r="W22" i="1"/>
  <c r="K22" i="1"/>
  <c r="U24" i="1"/>
  <c r="I24" i="1"/>
  <c r="S24" i="1"/>
  <c r="T24" i="1"/>
  <c r="H24" i="1"/>
  <c r="G24" i="1"/>
  <c r="O24" i="1"/>
  <c r="J24" i="1"/>
  <c r="Z24" i="1"/>
  <c r="N24" i="1"/>
  <c r="V24" i="1"/>
  <c r="Y24" i="1"/>
  <c r="M24" i="1"/>
  <c r="X24" i="1"/>
  <c r="L24" i="1"/>
  <c r="W24" i="1"/>
  <c r="K24" i="1"/>
  <c r="U26" i="1"/>
  <c r="I26" i="1"/>
  <c r="G26" i="1"/>
  <c r="T26" i="1"/>
  <c r="H26" i="1"/>
  <c r="S26" i="1"/>
  <c r="O26" i="1"/>
  <c r="J26" i="1"/>
  <c r="Z26" i="1"/>
  <c r="N26" i="1"/>
  <c r="Y26" i="1"/>
  <c r="M26" i="1"/>
  <c r="V26" i="1"/>
  <c r="X26" i="1"/>
  <c r="L26" i="1"/>
  <c r="W26" i="1"/>
  <c r="K26" i="1"/>
  <c r="U28" i="1"/>
  <c r="I28" i="1"/>
  <c r="G28" i="1"/>
  <c r="T28" i="1"/>
  <c r="H28" i="1"/>
  <c r="S28" i="1"/>
  <c r="O28" i="1"/>
  <c r="J28" i="1"/>
  <c r="Z28" i="1"/>
  <c r="N28" i="1"/>
  <c r="V28" i="1"/>
  <c r="Y28" i="1"/>
  <c r="M28" i="1"/>
  <c r="X28" i="1"/>
  <c r="L28" i="1"/>
  <c r="W28" i="1"/>
  <c r="K28" i="1"/>
  <c r="U30" i="1"/>
  <c r="I30" i="1"/>
  <c r="G30" i="1"/>
  <c r="T30" i="1"/>
  <c r="H30" i="1"/>
  <c r="S30" i="1"/>
  <c r="O30" i="1"/>
  <c r="Z30" i="1"/>
  <c r="N30" i="1"/>
  <c r="J30" i="1"/>
  <c r="Y30" i="1"/>
  <c r="M30" i="1"/>
  <c r="V30" i="1"/>
  <c r="X30" i="1"/>
  <c r="L30" i="1"/>
  <c r="W30" i="1"/>
  <c r="K30" i="1"/>
  <c r="U32" i="1"/>
  <c r="I32" i="1"/>
  <c r="G32" i="1"/>
  <c r="T32" i="1"/>
  <c r="H32" i="1"/>
  <c r="S32" i="1"/>
  <c r="O32" i="1"/>
  <c r="Z32" i="1"/>
  <c r="N32" i="1"/>
  <c r="V32" i="1"/>
  <c r="Y32" i="1"/>
  <c r="M32" i="1"/>
  <c r="J32" i="1"/>
  <c r="X32" i="1"/>
  <c r="L32" i="1"/>
  <c r="W32" i="1"/>
  <c r="K32" i="1"/>
  <c r="G8" i="1"/>
  <c r="E7" i="1"/>
  <c r="P8" i="1"/>
  <c r="P36" i="1" s="1"/>
  <c r="U10" i="1"/>
  <c r="I10" i="1"/>
  <c r="T10" i="1"/>
  <c r="H10" i="1"/>
  <c r="O10" i="1"/>
  <c r="Z10" i="1"/>
  <c r="N10" i="1"/>
  <c r="Y10" i="1"/>
  <c r="M10" i="1"/>
  <c r="V10" i="1"/>
  <c r="X10" i="1"/>
  <c r="L10" i="1"/>
  <c r="W10" i="1"/>
  <c r="K10" i="1"/>
  <c r="J10" i="1"/>
  <c r="P11" i="1"/>
  <c r="U13" i="1"/>
  <c r="I13" i="1"/>
  <c r="S13" i="1"/>
  <c r="T13" i="1"/>
  <c r="H13" i="1"/>
  <c r="O13" i="1"/>
  <c r="J13" i="1"/>
  <c r="Z13" i="1"/>
  <c r="N13" i="1"/>
  <c r="V13" i="1"/>
  <c r="Y13" i="1"/>
  <c r="M13" i="1"/>
  <c r="X13" i="1"/>
  <c r="L13" i="1"/>
  <c r="W13" i="1"/>
  <c r="K13" i="1"/>
  <c r="Q14" i="1"/>
  <c r="Q16" i="1"/>
  <c r="Q18" i="1"/>
  <c r="Q20" i="1"/>
  <c r="Q22" i="1"/>
  <c r="Q24" i="1"/>
  <c r="Q26" i="1"/>
  <c r="Q28" i="1"/>
  <c r="Q30" i="1"/>
  <c r="Q32" i="1"/>
  <c r="Q8" i="1"/>
  <c r="Q36" i="1" s="1"/>
  <c r="E10" i="1"/>
  <c r="Q11" i="1"/>
  <c r="E13" i="1"/>
  <c r="R14" i="1"/>
  <c r="R16" i="1"/>
  <c r="R18" i="1"/>
  <c r="R20" i="1"/>
  <c r="R22" i="1"/>
  <c r="R24" i="1"/>
  <c r="R26" i="1"/>
  <c r="R28" i="1"/>
  <c r="R30" i="1"/>
  <c r="R32" i="1"/>
  <c r="U7" i="1"/>
  <c r="I7" i="1"/>
  <c r="T7" i="1"/>
  <c r="H7" i="1"/>
  <c r="O7" i="1"/>
  <c r="Z7" i="1"/>
  <c r="N7" i="1"/>
  <c r="V7" i="1"/>
  <c r="Y7" i="1"/>
  <c r="M7" i="1"/>
  <c r="X7" i="1"/>
  <c r="L7" i="1"/>
  <c r="W7" i="1"/>
  <c r="K7" i="1"/>
  <c r="J7" i="1"/>
  <c r="S9" i="1"/>
  <c r="G11" i="1"/>
  <c r="S12" i="1"/>
  <c r="G7" i="1"/>
  <c r="R8" i="1"/>
  <c r="F10" i="1"/>
  <c r="R11" i="1"/>
  <c r="F13" i="1"/>
  <c r="U15" i="1"/>
  <c r="I15" i="1"/>
  <c r="S15" i="1"/>
  <c r="T15" i="1"/>
  <c r="H15" i="1"/>
  <c r="G15" i="1"/>
  <c r="O15" i="1"/>
  <c r="V15" i="1"/>
  <c r="Z15" i="1"/>
  <c r="N15" i="1"/>
  <c r="Y15" i="1"/>
  <c r="M15" i="1"/>
  <c r="X15" i="1"/>
  <c r="L15" i="1"/>
  <c r="W15" i="1"/>
  <c r="K15" i="1"/>
  <c r="J15" i="1"/>
  <c r="U17" i="1"/>
  <c r="I17" i="1"/>
  <c r="S17" i="1"/>
  <c r="T17" i="1"/>
  <c r="H17" i="1"/>
  <c r="G17" i="1"/>
  <c r="O17" i="1"/>
  <c r="J17" i="1"/>
  <c r="Z17" i="1"/>
  <c r="N17" i="1"/>
  <c r="V17" i="1"/>
  <c r="Y17" i="1"/>
  <c r="M17" i="1"/>
  <c r="X17" i="1"/>
  <c r="L17" i="1"/>
  <c r="W17" i="1"/>
  <c r="K17" i="1"/>
  <c r="U19" i="1"/>
  <c r="I19" i="1"/>
  <c r="S19" i="1"/>
  <c r="T19" i="1"/>
  <c r="H19" i="1"/>
  <c r="G19" i="1"/>
  <c r="O19" i="1"/>
  <c r="Z19" i="1"/>
  <c r="N19" i="1"/>
  <c r="Y19" i="1"/>
  <c r="M19" i="1"/>
  <c r="V19" i="1"/>
  <c r="X19" i="1"/>
  <c r="L19" i="1"/>
  <c r="J19" i="1"/>
  <c r="W19" i="1"/>
  <c r="K19" i="1"/>
  <c r="U21" i="1"/>
  <c r="I21" i="1"/>
  <c r="S21" i="1"/>
  <c r="T21" i="1"/>
  <c r="H21" i="1"/>
  <c r="G21" i="1"/>
  <c r="O21" i="1"/>
  <c r="Z21" i="1"/>
  <c r="N21" i="1"/>
  <c r="Y21" i="1"/>
  <c r="M21" i="1"/>
  <c r="V21" i="1"/>
  <c r="X21" i="1"/>
  <c r="L21" i="1"/>
  <c r="W21" i="1"/>
  <c r="K21" i="1"/>
  <c r="J21" i="1"/>
  <c r="U23" i="1"/>
  <c r="I23" i="1"/>
  <c r="S23" i="1"/>
  <c r="T23" i="1"/>
  <c r="H23" i="1"/>
  <c r="G23" i="1"/>
  <c r="O23" i="1"/>
  <c r="Z23" i="1"/>
  <c r="N23" i="1"/>
  <c r="V23" i="1"/>
  <c r="Y23" i="1"/>
  <c r="M23" i="1"/>
  <c r="J23" i="1"/>
  <c r="X23" i="1"/>
  <c r="L23" i="1"/>
  <c r="W23" i="1"/>
  <c r="K23" i="1"/>
  <c r="U25" i="1"/>
  <c r="I25" i="1"/>
  <c r="T25" i="1"/>
  <c r="H25" i="1"/>
  <c r="S25" i="1"/>
  <c r="G25" i="1"/>
  <c r="O25" i="1"/>
  <c r="Z25" i="1"/>
  <c r="N25" i="1"/>
  <c r="V25" i="1"/>
  <c r="Y25" i="1"/>
  <c r="M25" i="1"/>
  <c r="J25" i="1"/>
  <c r="X25" i="1"/>
  <c r="L25" i="1"/>
  <c r="W25" i="1"/>
  <c r="K25" i="1"/>
  <c r="U27" i="1"/>
  <c r="I27" i="1"/>
  <c r="G27" i="1"/>
  <c r="T27" i="1"/>
  <c r="H27" i="1"/>
  <c r="S27" i="1"/>
  <c r="O27" i="1"/>
  <c r="Z27" i="1"/>
  <c r="N27" i="1"/>
  <c r="J27" i="1"/>
  <c r="Y27" i="1"/>
  <c r="M27" i="1"/>
  <c r="V27" i="1"/>
  <c r="X27" i="1"/>
  <c r="L27" i="1"/>
  <c r="W27" i="1"/>
  <c r="K27" i="1"/>
  <c r="U29" i="1"/>
  <c r="I29" i="1"/>
  <c r="G29" i="1"/>
  <c r="T29" i="1"/>
  <c r="H29" i="1"/>
  <c r="S29" i="1"/>
  <c r="O29" i="1"/>
  <c r="V29" i="1"/>
  <c r="Z29" i="1"/>
  <c r="N29" i="1"/>
  <c r="Y29" i="1"/>
  <c r="M29" i="1"/>
  <c r="J29" i="1"/>
  <c r="X29" i="1"/>
  <c r="L29" i="1"/>
  <c r="W29" i="1"/>
  <c r="K29" i="1"/>
  <c r="U31" i="1"/>
  <c r="I31" i="1"/>
  <c r="G31" i="1"/>
  <c r="T31" i="1"/>
  <c r="H31" i="1"/>
  <c r="S31" i="1"/>
  <c r="O31" i="1"/>
  <c r="V31" i="1"/>
  <c r="Z31" i="1"/>
  <c r="N31" i="1"/>
  <c r="J31" i="1"/>
  <c r="Y31" i="1"/>
  <c r="M31" i="1"/>
  <c r="X31" i="1"/>
  <c r="L31" i="1"/>
  <c r="W31" i="1"/>
  <c r="K31" i="1"/>
  <c r="U33" i="1"/>
  <c r="I33" i="1"/>
  <c r="G33" i="1"/>
  <c r="T33" i="1"/>
  <c r="H33" i="1"/>
  <c r="S33" i="1"/>
  <c r="O33" i="1"/>
  <c r="Z33" i="1"/>
  <c r="N33" i="1"/>
  <c r="V33" i="1"/>
  <c r="Y33" i="1"/>
  <c r="M33" i="1"/>
  <c r="J33" i="1"/>
  <c r="X33" i="1"/>
  <c r="L33" i="1"/>
  <c r="W33" i="1"/>
  <c r="K33" i="1"/>
  <c r="M8" i="2"/>
  <c r="G11" i="2"/>
  <c r="N19" i="2"/>
  <c r="S7" i="2"/>
  <c r="L10" i="2"/>
  <c r="G12" i="2"/>
  <c r="R19" i="2"/>
  <c r="L22" i="2"/>
  <c r="G24" i="2"/>
  <c r="F25" i="2"/>
  <c r="W7" i="2"/>
  <c r="L11" i="2"/>
  <c r="G13" i="2"/>
  <c r="N21" i="2"/>
  <c r="L23" i="2"/>
  <c r="G25" i="2"/>
  <c r="F26" i="2"/>
  <c r="N10" i="2"/>
  <c r="P16" i="2"/>
  <c r="M23" i="2"/>
  <c r="W8" i="2"/>
  <c r="N11" i="2"/>
  <c r="P17" i="2"/>
  <c r="M24" i="2"/>
  <c r="L25" i="2"/>
  <c r="K26" i="2"/>
  <c r="G27" i="2"/>
  <c r="F28" i="2"/>
  <c r="G7" i="2"/>
  <c r="P8" i="2"/>
  <c r="Z8" i="2"/>
  <c r="Y9" i="2"/>
  <c r="W11" i="2"/>
  <c r="S12" i="2"/>
  <c r="R13" i="2"/>
  <c r="M15" i="2"/>
  <c r="L16" i="2"/>
  <c r="K17" i="2"/>
  <c r="G18" i="2"/>
  <c r="F19" i="2"/>
  <c r="P20" i="2"/>
  <c r="G30" i="2"/>
  <c r="F31" i="2"/>
  <c r="L9" i="2"/>
  <c r="K10" i="2"/>
  <c r="F12" i="2"/>
  <c r="S17" i="2"/>
  <c r="R18" i="2"/>
  <c r="L21" i="2"/>
  <c r="G23" i="2"/>
  <c r="M9" i="2"/>
  <c r="P14" i="2"/>
  <c r="N20" i="2"/>
  <c r="K23" i="2"/>
  <c r="N9" i="2"/>
  <c r="K12" i="2"/>
  <c r="F14" i="2"/>
  <c r="K24" i="2"/>
  <c r="R9" i="2"/>
  <c r="K13" i="2"/>
  <c r="F15" i="2"/>
  <c r="N22" i="2"/>
  <c r="Z9" i="2"/>
  <c r="X11" i="2"/>
  <c r="S13" i="2"/>
  <c r="N15" i="2"/>
  <c r="K18" i="2"/>
  <c r="L7" i="2"/>
  <c r="G8" i="2"/>
  <c r="P10" i="2"/>
  <c r="Z10" i="2"/>
  <c r="X12" i="2"/>
  <c r="S14" i="2"/>
  <c r="N16" i="2"/>
  <c r="M17" i="2"/>
  <c r="L18" i="2"/>
  <c r="K19" i="2"/>
  <c r="G20" i="2"/>
  <c r="R7" i="2"/>
  <c r="P13" i="2"/>
  <c r="M20" i="2"/>
  <c r="K22" i="2"/>
  <c r="F24" i="2"/>
  <c r="N8" i="2"/>
  <c r="K11" i="2"/>
  <c r="F13" i="2"/>
  <c r="S18" i="2"/>
  <c r="M21" i="2"/>
  <c r="M10" i="2"/>
  <c r="P15" i="2"/>
  <c r="M22" i="2"/>
  <c r="X7" i="2"/>
  <c r="M11" i="2"/>
  <c r="G14" i="2"/>
  <c r="K7" i="2"/>
  <c r="P9" i="2"/>
  <c r="Y10" i="2"/>
  <c r="W12" i="2"/>
  <c r="R14" i="2"/>
  <c r="M16" i="2"/>
  <c r="L17" i="2"/>
  <c r="K8" i="2"/>
  <c r="G9" i="2"/>
  <c r="P11" i="2"/>
  <c r="Z11" i="2"/>
  <c r="Y12" i="2"/>
  <c r="X13" i="2"/>
  <c r="W14" i="2"/>
  <c r="S15" i="2"/>
  <c r="R16" i="2"/>
  <c r="N17" i="2"/>
  <c r="M18" i="2"/>
  <c r="L19" i="2"/>
  <c r="K20" i="2"/>
  <c r="G21" i="2"/>
  <c r="L12" i="2"/>
  <c r="L24" i="2"/>
  <c r="K25" i="2"/>
  <c r="G26" i="2"/>
  <c r="F27" i="2"/>
  <c r="S8" i="2"/>
  <c r="K14" i="2"/>
  <c r="R8" i="2"/>
  <c r="S9" i="2"/>
  <c r="M12" i="2"/>
  <c r="G15" i="2"/>
  <c r="P7" i="2"/>
  <c r="Z7" i="2"/>
  <c r="X8" i="2"/>
  <c r="W9" i="2"/>
  <c r="S10" i="2"/>
  <c r="R11" i="2"/>
  <c r="N12" i="2"/>
  <c r="M13" i="2"/>
  <c r="L14" i="2"/>
  <c r="K15" i="2"/>
  <c r="G16" i="2"/>
  <c r="F17" i="2"/>
  <c r="P18" i="2"/>
  <c r="G28" i="2"/>
  <c r="F29" i="2"/>
  <c r="Y7" i="2"/>
  <c r="R10" i="2"/>
  <c r="L13" i="2"/>
  <c r="F16" i="2"/>
  <c r="N23" i="2"/>
  <c r="Y8" i="2"/>
  <c r="X9" i="2"/>
  <c r="W10" i="2"/>
  <c r="S11" i="2"/>
  <c r="R12" i="2"/>
  <c r="N13" i="2"/>
  <c r="M14" i="2"/>
  <c r="L15" i="2"/>
  <c r="K16" i="2"/>
  <c r="G17" i="2"/>
  <c r="P19" i="2"/>
  <c r="G29" i="2"/>
  <c r="E7" i="2"/>
  <c r="Q7" i="2"/>
  <c r="E8" i="2"/>
  <c r="Q8" i="2"/>
  <c r="E9" i="2"/>
  <c r="Q9" i="2"/>
  <c r="E10" i="2"/>
  <c r="Q10" i="2"/>
  <c r="E11" i="2"/>
  <c r="Q11" i="2"/>
  <c r="E12" i="2"/>
  <c r="Q12" i="2"/>
  <c r="E13" i="2"/>
  <c r="Q13" i="2"/>
  <c r="E14" i="2"/>
  <c r="Q14" i="2"/>
  <c r="E15" i="2"/>
  <c r="Q15" i="2"/>
  <c r="E16" i="2"/>
  <c r="Q16" i="2"/>
  <c r="E17" i="2"/>
  <c r="Q17" i="2"/>
  <c r="E18" i="2"/>
  <c r="Q18" i="2"/>
  <c r="E19" i="2"/>
  <c r="Q19" i="2"/>
  <c r="E20" i="2"/>
  <c r="Q20" i="2"/>
  <c r="E21" i="2"/>
  <c r="E22" i="2"/>
  <c r="E23" i="2"/>
  <c r="E24" i="2"/>
  <c r="E25" i="2"/>
  <c r="E26" i="2"/>
  <c r="E27" i="2"/>
  <c r="E28" i="2"/>
  <c r="E29" i="2"/>
  <c r="E30" i="2"/>
  <c r="E31" i="2"/>
  <c r="H7" i="2"/>
  <c r="T7" i="2"/>
  <c r="H8" i="2"/>
  <c r="T8" i="2"/>
  <c r="H9" i="2"/>
  <c r="T9" i="2"/>
  <c r="H10" i="2"/>
  <c r="T10" i="2"/>
  <c r="H11" i="2"/>
  <c r="T11" i="2"/>
  <c r="H12" i="2"/>
  <c r="T12" i="2"/>
  <c r="H13" i="2"/>
  <c r="T13" i="2"/>
  <c r="H14" i="2"/>
  <c r="T14" i="2"/>
  <c r="H15" i="2"/>
  <c r="T15" i="2"/>
  <c r="H16" i="2"/>
  <c r="T16" i="2"/>
  <c r="H17" i="2"/>
  <c r="T17" i="2"/>
  <c r="H18" i="2"/>
  <c r="H19" i="2"/>
  <c r="H20" i="2"/>
  <c r="H21" i="2"/>
  <c r="H22" i="2"/>
  <c r="H23" i="2"/>
  <c r="H24" i="2"/>
  <c r="H25" i="2"/>
  <c r="H26" i="2"/>
  <c r="H27" i="2"/>
  <c r="H28" i="2"/>
  <c r="H29" i="2"/>
  <c r="I7" i="2"/>
  <c r="U7" i="2"/>
  <c r="I8" i="2"/>
  <c r="U8" i="2"/>
  <c r="I9" i="2"/>
  <c r="U9" i="2"/>
  <c r="I10" i="2"/>
  <c r="U10" i="2"/>
  <c r="I11" i="2"/>
  <c r="U11" i="2"/>
  <c r="I12" i="2"/>
  <c r="U12" i="2"/>
  <c r="I13" i="2"/>
  <c r="U13" i="2"/>
  <c r="I14" i="2"/>
  <c r="U14" i="2"/>
  <c r="I15" i="2"/>
  <c r="U15" i="2"/>
  <c r="I16" i="2"/>
  <c r="U16" i="2"/>
  <c r="I17" i="2"/>
  <c r="I18" i="2"/>
  <c r="I19" i="2"/>
  <c r="I20" i="2"/>
  <c r="I21" i="2"/>
  <c r="I22" i="2"/>
  <c r="I23" i="2"/>
  <c r="I24" i="2"/>
  <c r="I25" i="2"/>
  <c r="I26" i="2"/>
  <c r="I27" i="2"/>
  <c r="I28" i="2"/>
  <c r="J7" i="2"/>
  <c r="V7" i="2"/>
  <c r="J8" i="2"/>
  <c r="V8" i="2"/>
  <c r="J9" i="2"/>
  <c r="V9" i="2"/>
  <c r="J10" i="2"/>
  <c r="V10" i="2"/>
  <c r="J11" i="2"/>
  <c r="V11" i="2"/>
  <c r="J12" i="2"/>
  <c r="V12" i="2"/>
  <c r="J13" i="2"/>
  <c r="V13" i="2"/>
  <c r="J14" i="2"/>
  <c r="V14" i="2"/>
  <c r="J15" i="2"/>
  <c r="V15" i="2"/>
  <c r="J16" i="2"/>
  <c r="J17" i="2"/>
  <c r="J18" i="2"/>
  <c r="J19" i="2"/>
  <c r="J20" i="2"/>
  <c r="J21" i="2"/>
  <c r="J22" i="2"/>
  <c r="J23" i="2"/>
  <c r="J24" i="2"/>
  <c r="J25" i="2"/>
  <c r="J26" i="2"/>
  <c r="J27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F36" i="1" l="1"/>
  <c r="W36" i="1"/>
  <c r="O36" i="1"/>
  <c r="G36" i="1"/>
  <c r="H36" i="1"/>
  <c r="Z36" i="1"/>
  <c r="J36" i="1"/>
  <c r="T36" i="1"/>
  <c r="E36" i="1"/>
  <c r="E37" i="1" s="1"/>
  <c r="S36" i="1"/>
  <c r="N36" i="1"/>
  <c r="K36" i="1"/>
  <c r="I36" i="1"/>
  <c r="U36" i="1"/>
  <c r="L36" i="1"/>
  <c r="M36" i="1"/>
  <c r="R36" i="1"/>
  <c r="X36" i="1"/>
  <c r="Y36" i="1"/>
  <c r="V36" i="1"/>
  <c r="E37" i="2"/>
  <c r="F37" i="1" l="1"/>
  <c r="F37" i="2"/>
  <c r="E38" i="2"/>
  <c r="F38" i="1" l="1"/>
  <c r="G37" i="1"/>
  <c r="F38" i="2"/>
  <c r="G37" i="2"/>
  <c r="G38" i="1" l="1"/>
  <c r="H37" i="1"/>
  <c r="H37" i="2"/>
  <c r="G38" i="2"/>
  <c r="H38" i="1" l="1"/>
  <c r="I37" i="1"/>
  <c r="H38" i="2"/>
  <c r="I37" i="2"/>
  <c r="J37" i="1" l="1"/>
  <c r="I38" i="1"/>
  <c r="I38" i="2"/>
  <c r="J37" i="2"/>
  <c r="K37" i="1" l="1"/>
  <c r="J38" i="1"/>
  <c r="K37" i="2"/>
  <c r="J38" i="2"/>
  <c r="L37" i="1" l="1"/>
  <c r="K38" i="1"/>
  <c r="L37" i="2"/>
  <c r="K38" i="2"/>
  <c r="L38" i="1" l="1"/>
  <c r="M37" i="1"/>
  <c r="L38" i="2"/>
  <c r="M37" i="2"/>
  <c r="M38" i="1" l="1"/>
  <c r="N37" i="1"/>
  <c r="M38" i="2"/>
  <c r="N37" i="2"/>
  <c r="N38" i="1" l="1"/>
  <c r="O37" i="1"/>
  <c r="N38" i="2"/>
  <c r="O37" i="2"/>
  <c r="P37" i="1" l="1"/>
  <c r="O38" i="1"/>
  <c r="P37" i="2"/>
  <c r="O38" i="2"/>
  <c r="Q37" i="1" l="1"/>
  <c r="P38" i="1"/>
  <c r="P38" i="2"/>
  <c r="Q37" i="2"/>
  <c r="R37" i="1" l="1"/>
  <c r="Q38" i="1"/>
  <c r="R37" i="2"/>
  <c r="Q38" i="2"/>
  <c r="R38" i="1" l="1"/>
  <c r="S37" i="1"/>
  <c r="S37" i="2"/>
  <c r="R38" i="2"/>
  <c r="S38" i="1" l="1"/>
  <c r="T37" i="1"/>
  <c r="S38" i="2"/>
  <c r="T37" i="2"/>
  <c r="T38" i="1" l="1"/>
  <c r="U37" i="1"/>
  <c r="U37" i="2"/>
  <c r="T38" i="2"/>
  <c r="V37" i="1" l="1"/>
  <c r="U38" i="1"/>
  <c r="V37" i="2"/>
  <c r="U38" i="2"/>
  <c r="W37" i="1" l="1"/>
  <c r="V38" i="1"/>
  <c r="W37" i="2"/>
  <c r="V38" i="2"/>
  <c r="X37" i="1" l="1"/>
  <c r="W38" i="1"/>
  <c r="X37" i="2"/>
  <c r="W38" i="2"/>
  <c r="X38" i="1" l="1"/>
  <c r="Y37" i="1"/>
  <c r="Y37" i="2"/>
  <c r="X38" i="2"/>
  <c r="Y38" i="1" l="1"/>
  <c r="Z37" i="1"/>
  <c r="Z38" i="1" s="1"/>
  <c r="Y38" i="2"/>
  <c r="Z37" i="2"/>
  <c r="Z38" i="2" s="1"/>
</calcChain>
</file>

<file path=xl/sharedStrings.xml><?xml version="1.0" encoding="utf-8"?>
<sst xmlns="http://schemas.openxmlformats.org/spreadsheetml/2006/main" count="12" uniqueCount="6">
  <si>
    <t>HORIZONTE DE INVERSIÓN</t>
  </si>
  <si>
    <t>1+r medio</t>
  </si>
  <si>
    <t>medias aritméticas desde 1999</t>
  </si>
  <si>
    <t>1+ tanto acumulado</t>
  </si>
  <si>
    <t>tanto acumulado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</si>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</sst>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right"/>
    </xf>
    <xf numFmtId="0" fontId="2" fillId="0" borderId="1" xfId="0" applyFont="1" applyBorder="1"/>
    <xf numFmtId="10" fontId="0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0" fontId="0" fillId="0" borderId="0" xfId="0" quotePrefix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A7E-9E53-4B2E-989D-054EC7023601}">
  <dimension ref="A5:Z38"/>
  <sheetViews>
    <sheetView workbookViewId="0"/>
  </sheetViews>
  <sheetFormatPr baseColWidth="10" defaultRowHeight="14.4" x14ac:dyDescent="0.3"/>
  <sheetData>
    <row r="5" spans="1:26" x14ac:dyDescent="0.3">
      <c r="E5" s="9" t="s">
        <v>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3">
      <c r="D6" s="1" t="s">
        <v>1</v>
      </c>
      <c r="E6" s="2">
        <v>1</v>
      </c>
      <c r="F6" s="2">
        <f>+E6+1</f>
        <v>2</v>
      </c>
      <c r="G6" s="2">
        <f t="shared" ref="G6:Z6" si="0">+F6+1</f>
        <v>3</v>
      </c>
      <c r="H6" s="2">
        <f t="shared" si="0"/>
        <v>4</v>
      </c>
      <c r="I6" s="2">
        <f t="shared" si="0"/>
        <v>5</v>
      </c>
      <c r="J6" s="2">
        <f t="shared" si="0"/>
        <v>6</v>
      </c>
      <c r="K6" s="2">
        <f t="shared" si="0"/>
        <v>7</v>
      </c>
      <c r="L6" s="2">
        <f t="shared" si="0"/>
        <v>8</v>
      </c>
      <c r="M6" s="2">
        <f t="shared" si="0"/>
        <v>9</v>
      </c>
      <c r="N6" s="2">
        <f t="shared" si="0"/>
        <v>10</v>
      </c>
      <c r="O6" s="2">
        <f t="shared" si="0"/>
        <v>11</v>
      </c>
      <c r="P6" s="2">
        <f t="shared" si="0"/>
        <v>12</v>
      </c>
      <c r="Q6" s="2">
        <f t="shared" si="0"/>
        <v>13</v>
      </c>
      <c r="R6" s="2">
        <f t="shared" si="0"/>
        <v>14</v>
      </c>
      <c r="S6" s="2">
        <f t="shared" si="0"/>
        <v>15</v>
      </c>
      <c r="T6" s="2">
        <f t="shared" si="0"/>
        <v>16</v>
      </c>
      <c r="U6" s="2">
        <f t="shared" si="0"/>
        <v>17</v>
      </c>
      <c r="V6" s="2">
        <f t="shared" si="0"/>
        <v>18</v>
      </c>
      <c r="W6" s="2">
        <f t="shared" si="0"/>
        <v>19</v>
      </c>
      <c r="X6" s="2">
        <f t="shared" si="0"/>
        <v>20</v>
      </c>
      <c r="Y6" s="2">
        <f t="shared" si="0"/>
        <v>21</v>
      </c>
      <c r="Z6" s="2">
        <f t="shared" si="0"/>
        <v>22</v>
      </c>
    </row>
    <row r="7" spans="1:26" x14ac:dyDescent="0.3">
      <c r="A7">
        <v>1999</v>
      </c>
      <c r="B7" s="3">
        <v>4.8500000000000001E-2</v>
      </c>
      <c r="D7" s="4">
        <f t="shared" ref="D7:D33" si="1">1+B7</f>
        <v>1.0485</v>
      </c>
      <c r="E7" s="4">
        <f t="shared" ref="E7:E33" si="2">+D7-1</f>
        <v>4.8499999999999988E-2</v>
      </c>
      <c r="F7" s="5">
        <f>+IF(TYPE(GEOMEAN($D7:$D8)-1)&gt;1,"",GEOMEAN($D7:$D8)-1)</f>
        <v>5.3388603507746213E-2</v>
      </c>
      <c r="G7" s="5">
        <f t="shared" ref="G7:G33" si="3">+IF(TYPE(GEOMEAN($D7:$D9)-1)&gt;1,"",GEOMEAN($D7:$D9)-1)</f>
        <v>5.2992253225584429E-2</v>
      </c>
      <c r="H7" s="5">
        <f t="shared" ref="H7:H32" si="4">+IF(TYPE(GEOMEAN($D7:$D10)-1)&gt;1,"",GEOMEAN($D7:$D10)-1)</f>
        <v>5.2694063279426606E-2</v>
      </c>
      <c r="I7" s="5">
        <f t="shared" ref="I7:I33" si="5">+IF(TYPE(GEOMEAN($D7:$D11)-1)&gt;1,"",GEOMEAN($D7:$D11)-1)</f>
        <v>5.0808508006999542E-2</v>
      </c>
      <c r="J7" s="5">
        <f t="shared" ref="J7:J33" si="6">+IF(TYPE(GEOMEAN($D7:$D12)-1)&gt;1,"",GEOMEAN($D7:$D12)-1)</f>
        <v>4.950304212082246E-2</v>
      </c>
      <c r="K7" s="5">
        <f t="shared" ref="K7:K33" si="7">+IF(TYPE(GEOMEAN($D7:$D13)-1)&gt;1,"",GEOMEAN($D7:$D13)-1)</f>
        <v>4.7967310843186839E-2</v>
      </c>
      <c r="L7" s="5">
        <f t="shared" ref="L7:L33" si="8">+IF(TYPE(GEOMEAN($D7:$D14)-1)&gt;1,"",GEOMEAN($D7:$D14)-1)</f>
        <v>4.6122571365166065E-2</v>
      </c>
      <c r="M7" s="5">
        <f t="shared" ref="M7:M33" si="9">+IF(TYPE(GEOMEAN($D7:$D15)-1)&gt;1,"",GEOMEAN($D7:$D15)-1)</f>
        <v>4.5440509570611631E-2</v>
      </c>
      <c r="N7" s="5">
        <f t="shared" ref="N7:N33" si="10">+IF(TYPE(GEOMEAN($D7:$D16)-1)&gt;1,"",GEOMEAN($D7:$D16)-1)</f>
        <v>4.5296369216190513E-2</v>
      </c>
      <c r="O7" s="5">
        <f t="shared" ref="O7:O33" si="11">+IF(TYPE(GEOMEAN($D7:$D17)-1)&gt;1,"",GEOMEAN($D7:$D17)-1)</f>
        <v>4.4777230254823497E-2</v>
      </c>
      <c r="P7" s="5">
        <f t="shared" ref="P7:P20" si="12">+IF(TYPE(GEOMEAN($D7:$D18)-1)&gt;1,"",GEOMEAN($D7:$D18)-1)</f>
        <v>4.4294569914821169E-2</v>
      </c>
      <c r="Q7" s="5">
        <f t="shared" ref="Q7:Q33" si="13">+IF(TYPE(GEOMEAN($D7:$D19)-1)&gt;1,"",GEOMEAN($D7:$D19)-1)</f>
        <v>4.507608419999154E-2</v>
      </c>
      <c r="R7" s="5">
        <f t="shared" ref="R7:R33" si="14">+IF(TYPE(GEOMEAN($D7:$D20)-1)&gt;1,"",GEOMEAN($D7:$D20)-1)</f>
        <v>4.5441247671142104E-2</v>
      </c>
      <c r="S7" s="5">
        <f t="shared" ref="S7:S33" si="15">+IF(TYPE(GEOMEAN($D7:$D21)-1)&gt;1,"",GEOMEAN($D7:$D21)-1)</f>
        <v>4.6115445803389221E-2</v>
      </c>
      <c r="T7" s="5">
        <f t="shared" ref="T7:T33" si="16">+IF(TYPE(GEOMEAN($D7:$D22)-1)&gt;1,"",GEOMEAN($D7:$D22)-1)</f>
        <v>4.5813829099942804E-2</v>
      </c>
      <c r="U7" s="5">
        <f t="shared" ref="U7:U33" si="17">+IF(TYPE(GEOMEAN($D7:$D23)-1)&gt;1,"",GEOMEAN($D7:$D23)-1)</f>
        <v>4.4048192013781184E-2</v>
      </c>
      <c r="V7" s="5">
        <f t="shared" ref="V7:V33" si="18">+IF(TYPE(GEOMEAN($D7:$D24)-1)&gt;1,"",GEOMEAN($D7:$D24)-1)</f>
        <v>4.2572359500339996E-2</v>
      </c>
      <c r="W7" s="5">
        <f t="shared" ref="W7:W33" si="19">+IF(TYPE(GEOMEAN($D7:$D25)-1)&gt;1,"",GEOMEAN($D7:$D25)-1)</f>
        <v>4.1027056530387629E-2</v>
      </c>
      <c r="X7" s="5">
        <f t="shared" ref="X7:X33" si="20">+IF(TYPE(GEOMEAN($D7:$D26)-1)&gt;1,"",GEOMEAN($D7:$D26)-1)</f>
        <v>3.9592066812635274E-2</v>
      </c>
      <c r="Y7" s="5">
        <f>+IF(TYPE(GEOMEAN($D7:$D27)-1)&gt;1,"",GEOMEAN($D7:$D27)-1)</f>
        <v>3.7840926484188131E-2</v>
      </c>
      <c r="Z7" s="5">
        <f>+IF(TYPE(GEOMEAN($D7:$D28)-1)&gt;1,"",GEOMEAN($D7:$D28)-1)</f>
        <v>3.6268858820857286E-2</v>
      </c>
    </row>
    <row r="8" spans="1:26" x14ac:dyDescent="0.3">
      <c r="A8">
        <f>+A7+1</f>
        <v>2000</v>
      </c>
      <c r="B8" s="3">
        <v>5.8299999999999998E-2</v>
      </c>
      <c r="D8" s="4">
        <f t="shared" si="1"/>
        <v>1.0583</v>
      </c>
      <c r="E8" s="4">
        <f t="shared" si="2"/>
        <v>5.8300000000000018E-2</v>
      </c>
      <c r="F8" s="5">
        <f t="shared" ref="F8:F33" si="21">+IF(TYPE(GEOMEAN($D8:$D9)-1)&gt;1,"",GEOMEAN($D8:$D9)-1)</f>
        <v>5.524559226750636E-2</v>
      </c>
      <c r="G8" s="5">
        <f t="shared" si="3"/>
        <v>5.4095809176650356E-2</v>
      </c>
      <c r="H8" s="5">
        <f t="shared" si="4"/>
        <v>5.1386428743650292E-2</v>
      </c>
      <c r="I8" s="5">
        <f t="shared" si="5"/>
        <v>4.9703765662234112E-2</v>
      </c>
      <c r="J8" s="5">
        <f t="shared" si="6"/>
        <v>4.7878555632217878E-2</v>
      </c>
      <c r="K8" s="5">
        <f t="shared" si="7"/>
        <v>4.5783379046978601E-2</v>
      </c>
      <c r="L8" s="5">
        <f t="shared" si="8"/>
        <v>4.5058701516607291E-2</v>
      </c>
      <c r="M8" s="5">
        <f t="shared" si="9"/>
        <v>4.4941015016883412E-2</v>
      </c>
      <c r="N8" s="5">
        <f t="shared" si="10"/>
        <v>4.4405681042914757E-2</v>
      </c>
      <c r="O8" s="5">
        <f t="shared" si="11"/>
        <v>4.3913095515633493E-2</v>
      </c>
      <c r="P8" s="5">
        <f t="shared" si="12"/>
        <v>4.479126308221093E-2</v>
      </c>
      <c r="Q8" s="5">
        <f t="shared" si="13"/>
        <v>4.5206328962315911E-2</v>
      </c>
      <c r="R8" s="5">
        <f t="shared" si="14"/>
        <v>4.5945328165661437E-2</v>
      </c>
      <c r="S8" s="5">
        <f t="shared" si="15"/>
        <v>4.5634995919622723E-2</v>
      </c>
      <c r="T8" s="5">
        <f t="shared" si="16"/>
        <v>4.3770582449718543E-2</v>
      </c>
      <c r="U8" s="5">
        <f t="shared" si="17"/>
        <v>4.2224720235264135E-2</v>
      </c>
      <c r="V8" s="5">
        <f t="shared" si="18"/>
        <v>4.0613458205967845E-2</v>
      </c>
      <c r="W8" s="5">
        <f t="shared" si="19"/>
        <v>3.9125330291574612E-2</v>
      </c>
      <c r="X8" s="5">
        <f t="shared" si="20"/>
        <v>3.7310826470771108E-2</v>
      </c>
      <c r="Y8" s="5">
        <f t="shared" ref="Y8:Y33" si="22">+IF(TYPE(GEOMEAN($D8:$D28)-1)&gt;1,"",GEOMEAN($D8:$D28)-1)</f>
        <v>3.5689995713357847E-2</v>
      </c>
      <c r="Z8" s="5">
        <f t="shared" ref="Z8:Z33" si="23">+IF(TYPE(GEOMEAN($D8:$D29)-1)&gt;1,"",GEOMEAN($D8:$D29)-1)</f>
        <v>3.420465942219697E-2</v>
      </c>
    </row>
    <row r="9" spans="1:26" x14ac:dyDescent="0.3">
      <c r="A9">
        <f t="shared" ref="A9:A33" si="24">+A8+1</f>
        <v>2001</v>
      </c>
      <c r="B9" s="3">
        <v>5.2200000000000003E-2</v>
      </c>
      <c r="D9" s="4">
        <f t="shared" si="1"/>
        <v>1.0522</v>
      </c>
      <c r="E9" s="4">
        <f t="shared" si="2"/>
        <v>5.2200000000000024E-2</v>
      </c>
      <c r="F9" s="5">
        <f t="shared" si="21"/>
        <v>5.1999980988593153E-2</v>
      </c>
      <c r="G9" s="5">
        <f t="shared" si="3"/>
        <v>4.9091956131268155E-2</v>
      </c>
      <c r="H9" s="5">
        <f t="shared" si="4"/>
        <v>4.7565639386290215E-2</v>
      </c>
      <c r="I9" s="5">
        <f t="shared" si="5"/>
        <v>4.5806614066949747E-2</v>
      </c>
      <c r="J9" s="5">
        <f t="shared" si="6"/>
        <v>4.371171542073804E-2</v>
      </c>
      <c r="K9" s="5">
        <f t="shared" si="7"/>
        <v>4.3180660423265183E-2</v>
      </c>
      <c r="L9" s="5">
        <f t="shared" si="8"/>
        <v>4.3283042694613583E-2</v>
      </c>
      <c r="M9" s="5">
        <f t="shared" si="9"/>
        <v>4.2873172221882472E-2</v>
      </c>
      <c r="N9" s="5">
        <f t="shared" si="10"/>
        <v>4.2485206159538436E-2</v>
      </c>
      <c r="O9" s="5">
        <f t="shared" si="11"/>
        <v>4.3571779768810881E-2</v>
      </c>
      <c r="P9" s="5">
        <f t="shared" si="12"/>
        <v>4.4122530002536964E-2</v>
      </c>
      <c r="Q9" s="5">
        <f t="shared" si="13"/>
        <v>4.5000964370336849E-2</v>
      </c>
      <c r="R9" s="5">
        <f t="shared" si="14"/>
        <v>4.4736174099484494E-2</v>
      </c>
      <c r="S9" s="5">
        <f t="shared" si="15"/>
        <v>4.2809077539620599E-2</v>
      </c>
      <c r="T9" s="5">
        <f t="shared" si="16"/>
        <v>4.1228161525626028E-2</v>
      </c>
      <c r="U9" s="5">
        <f t="shared" si="17"/>
        <v>3.9582327007968043E-2</v>
      </c>
      <c r="V9" s="5">
        <f t="shared" si="18"/>
        <v>3.8070315997681625E-2</v>
      </c>
      <c r="W9" s="5">
        <f t="shared" si="19"/>
        <v>3.6217737257546956E-2</v>
      </c>
      <c r="X9" s="5">
        <f t="shared" si="20"/>
        <v>3.4572262264218612E-2</v>
      </c>
      <c r="Y9" s="5">
        <f t="shared" si="22"/>
        <v>3.3071046221265554E-2</v>
      </c>
      <c r="Z9" s="5">
        <f t="shared" si="23"/>
        <v>3.2565224836548667E-2</v>
      </c>
    </row>
    <row r="10" spans="1:26" x14ac:dyDescent="0.3">
      <c r="A10">
        <f t="shared" si="24"/>
        <v>2002</v>
      </c>
      <c r="B10" s="3">
        <v>5.1799999999999999E-2</v>
      </c>
      <c r="D10" s="4">
        <f t="shared" si="1"/>
        <v>1.0518000000000001</v>
      </c>
      <c r="E10" s="4">
        <f t="shared" si="2"/>
        <v>5.1800000000000068E-2</v>
      </c>
      <c r="F10" s="5">
        <f t="shared" si="21"/>
        <v>4.7541378657664168E-2</v>
      </c>
      <c r="G10" s="5">
        <f t="shared" si="3"/>
        <v>4.6025392918910502E-2</v>
      </c>
      <c r="H10" s="5">
        <f t="shared" si="4"/>
        <v>4.4214346757254441E-2</v>
      </c>
      <c r="I10" s="5">
        <f t="shared" si="5"/>
        <v>4.2022293426742241E-2</v>
      </c>
      <c r="J10" s="5">
        <f t="shared" si="6"/>
        <v>4.168497164692786E-2</v>
      </c>
      <c r="K10" s="5">
        <f t="shared" si="7"/>
        <v>4.2015375422386647E-2</v>
      </c>
      <c r="L10" s="5">
        <f t="shared" si="8"/>
        <v>4.1713146865747008E-2</v>
      </c>
      <c r="M10" s="5">
        <f t="shared" si="9"/>
        <v>4.1411336571339552E-2</v>
      </c>
      <c r="N10" s="5">
        <f t="shared" si="10"/>
        <v>4.271285876483355E-2</v>
      </c>
      <c r="O10" s="5">
        <f t="shared" si="11"/>
        <v>4.339129653746987E-2</v>
      </c>
      <c r="P10" s="5">
        <f t="shared" si="12"/>
        <v>4.4403272713945618E-2</v>
      </c>
      <c r="Q10" s="5">
        <f t="shared" si="13"/>
        <v>4.4164231435375179E-2</v>
      </c>
      <c r="R10" s="5">
        <f t="shared" si="14"/>
        <v>4.2141513442585099E-2</v>
      </c>
      <c r="S10" s="5">
        <f t="shared" si="15"/>
        <v>4.0500786769519737E-2</v>
      </c>
      <c r="T10" s="5">
        <f t="shared" si="16"/>
        <v>3.8798765261941037E-2</v>
      </c>
      <c r="U10" s="5">
        <f t="shared" si="17"/>
        <v>3.7245092135711255E-2</v>
      </c>
      <c r="V10" s="5">
        <f t="shared" si="18"/>
        <v>3.5336986043586149E-2</v>
      </c>
      <c r="W10" s="5">
        <f t="shared" si="19"/>
        <v>3.3652710877233094E-2</v>
      </c>
      <c r="X10" s="5">
        <f t="shared" si="20"/>
        <v>3.212378035233443E-2</v>
      </c>
      <c r="Y10" s="5">
        <f t="shared" si="22"/>
        <v>3.163942937158426E-2</v>
      </c>
      <c r="Z10" s="5">
        <f t="shared" si="23"/>
        <v>3.1787414022006022E-2</v>
      </c>
    </row>
    <row r="11" spans="1:26" x14ac:dyDescent="0.3">
      <c r="A11">
        <f t="shared" si="24"/>
        <v>2003</v>
      </c>
      <c r="B11" s="3">
        <v>4.3299999999999998E-2</v>
      </c>
      <c r="D11" s="4">
        <f t="shared" si="1"/>
        <v>1.0432999999999999</v>
      </c>
      <c r="E11" s="4">
        <f t="shared" si="2"/>
        <v>4.3299999999999894E-2</v>
      </c>
      <c r="F11" s="5">
        <f t="shared" si="21"/>
        <v>4.3149989215357065E-2</v>
      </c>
      <c r="G11" s="5">
        <f t="shared" si="3"/>
        <v>4.1697972607959377E-2</v>
      </c>
      <c r="H11" s="5">
        <f t="shared" si="4"/>
        <v>3.9592102296464704E-2</v>
      </c>
      <c r="I11" s="5">
        <f t="shared" si="5"/>
        <v>3.9673669036660586E-2</v>
      </c>
      <c r="J11" s="5">
        <f t="shared" si="6"/>
        <v>4.0393477165823199E-2</v>
      </c>
      <c r="K11" s="5">
        <f t="shared" si="7"/>
        <v>4.0280086216788691E-2</v>
      </c>
      <c r="L11" s="5">
        <f t="shared" si="8"/>
        <v>4.0119989231128139E-2</v>
      </c>
      <c r="M11" s="5">
        <f t="shared" si="9"/>
        <v>4.1708035118354303E-2</v>
      </c>
      <c r="N11" s="5">
        <f t="shared" si="10"/>
        <v>4.2554132417363721E-2</v>
      </c>
      <c r="O11" s="5">
        <f t="shared" si="11"/>
        <v>4.3733427835723981E-2</v>
      </c>
      <c r="P11" s="5">
        <f t="shared" si="12"/>
        <v>4.353042516509098E-2</v>
      </c>
      <c r="Q11" s="5">
        <f t="shared" si="13"/>
        <v>4.140223700178125E-2</v>
      </c>
      <c r="R11" s="5">
        <f t="shared" si="14"/>
        <v>3.9698360450476589E-2</v>
      </c>
      <c r="S11" s="5">
        <f t="shared" si="15"/>
        <v>3.7937752428678584E-2</v>
      </c>
      <c r="T11" s="5">
        <f t="shared" si="16"/>
        <v>3.6342127023311077E-2</v>
      </c>
      <c r="U11" s="5">
        <f t="shared" si="17"/>
        <v>3.4376637891097017E-2</v>
      </c>
      <c r="V11" s="5">
        <f t="shared" si="18"/>
        <v>3.265375899169487E-2</v>
      </c>
      <c r="W11" s="5">
        <f t="shared" si="19"/>
        <v>3.1098446942531943E-2</v>
      </c>
      <c r="X11" s="5">
        <f t="shared" si="20"/>
        <v>3.0641606818527123E-2</v>
      </c>
      <c r="Y11" s="5">
        <f t="shared" si="22"/>
        <v>3.0843989541168071E-2</v>
      </c>
      <c r="Z11" s="5">
        <f t="shared" si="23"/>
        <v>3.0873799145388237E-2</v>
      </c>
    </row>
    <row r="12" spans="1:26" x14ac:dyDescent="0.3">
      <c r="A12">
        <f t="shared" si="24"/>
        <v>2004</v>
      </c>
      <c r="B12" s="3">
        <v>4.2999999999999997E-2</v>
      </c>
      <c r="D12" s="4">
        <f t="shared" si="1"/>
        <v>1.0429999999999999</v>
      </c>
      <c r="E12" s="4">
        <f t="shared" si="2"/>
        <v>4.2999999999999927E-2</v>
      </c>
      <c r="F12" s="5">
        <f t="shared" si="21"/>
        <v>4.0897881638731981E-2</v>
      </c>
      <c r="G12" s="5">
        <f t="shared" si="3"/>
        <v>3.8359067134241087E-2</v>
      </c>
      <c r="H12" s="5">
        <f t="shared" si="4"/>
        <v>3.8769057463138745E-2</v>
      </c>
      <c r="I12" s="5">
        <f t="shared" si="5"/>
        <v>3.9813144993371186E-2</v>
      </c>
      <c r="J12" s="5">
        <f t="shared" si="6"/>
        <v>3.9777617793311126E-2</v>
      </c>
      <c r="K12" s="5">
        <f t="shared" si="7"/>
        <v>3.9666493915130774E-2</v>
      </c>
      <c r="L12" s="5">
        <f t="shared" si="8"/>
        <v>4.1509210385174855E-2</v>
      </c>
      <c r="M12" s="5">
        <f t="shared" si="9"/>
        <v>4.2471291163897806E-2</v>
      </c>
      <c r="N12" s="5">
        <f t="shared" si="10"/>
        <v>4.3776780521525449E-2</v>
      </c>
      <c r="O12" s="5">
        <f t="shared" si="11"/>
        <v>4.3551375430779693E-2</v>
      </c>
      <c r="P12" s="5">
        <f t="shared" si="12"/>
        <v>4.1244245992808182E-2</v>
      </c>
      <c r="Q12" s="5">
        <f t="shared" si="13"/>
        <v>3.9421826796834036E-2</v>
      </c>
      <c r="R12" s="5">
        <f t="shared" si="14"/>
        <v>3.7555791031621544E-2</v>
      </c>
      <c r="S12" s="5">
        <f t="shared" si="15"/>
        <v>3.5879922134961051E-2</v>
      </c>
      <c r="T12" s="5">
        <f t="shared" si="16"/>
        <v>3.3821468678454591E-2</v>
      </c>
      <c r="U12" s="5">
        <f t="shared" si="17"/>
        <v>3.2030903608402106E-2</v>
      </c>
      <c r="V12" s="5">
        <f t="shared" si="18"/>
        <v>3.0424782453404076E-2</v>
      </c>
      <c r="W12" s="5">
        <f t="shared" si="19"/>
        <v>2.9979646420021488E-2</v>
      </c>
      <c r="X12" s="5">
        <f t="shared" si="20"/>
        <v>3.0225107577834809E-2</v>
      </c>
      <c r="Y12" s="5">
        <f t="shared" si="22"/>
        <v>3.0285780994850242E-2</v>
      </c>
      <c r="Z12" s="5">
        <f t="shared" si="23"/>
        <v>3.0372713886937852E-2</v>
      </c>
    </row>
    <row r="13" spans="1:26" x14ac:dyDescent="0.3">
      <c r="A13">
        <f t="shared" si="24"/>
        <v>2005</v>
      </c>
      <c r="B13" s="3">
        <v>3.8800000000000001E-2</v>
      </c>
      <c r="D13" s="4">
        <f t="shared" si="1"/>
        <v>1.0387999999999999</v>
      </c>
      <c r="E13" s="4">
        <f t="shared" si="2"/>
        <v>3.8799999999999946E-2</v>
      </c>
      <c r="F13" s="5">
        <f t="shared" si="21"/>
        <v>3.6046350314502096E-2</v>
      </c>
      <c r="G13" s="5">
        <f t="shared" si="3"/>
        <v>3.7362560699499392E-2</v>
      </c>
      <c r="H13" s="5">
        <f t="shared" si="4"/>
        <v>3.9017953864720401E-2</v>
      </c>
      <c r="I13" s="5">
        <f t="shared" si="5"/>
        <v>3.9134337016085929E-2</v>
      </c>
      <c r="J13" s="5">
        <f t="shared" si="6"/>
        <v>3.9111946307282208E-2</v>
      </c>
      <c r="K13" s="5">
        <f t="shared" si="7"/>
        <v>4.1296414456431174E-2</v>
      </c>
      <c r="L13" s="5">
        <f t="shared" si="8"/>
        <v>4.2405221406530691E-2</v>
      </c>
      <c r="M13" s="5">
        <f t="shared" si="9"/>
        <v>4.3863125171099249E-2</v>
      </c>
      <c r="N13" s="5">
        <f t="shared" si="10"/>
        <v>4.3606529002780503E-2</v>
      </c>
      <c r="O13" s="5">
        <f t="shared" si="11"/>
        <v>4.108477862476545E-2</v>
      </c>
      <c r="P13" s="5">
        <f t="shared" si="12"/>
        <v>3.9124200379800911E-2</v>
      </c>
      <c r="Q13" s="5">
        <f t="shared" si="13"/>
        <v>3.7138184676140273E-2</v>
      </c>
      <c r="R13" s="5">
        <f t="shared" si="14"/>
        <v>3.5373208990838956E-2</v>
      </c>
      <c r="S13" s="5">
        <f t="shared" si="15"/>
        <v>3.3212446388265704E-2</v>
      </c>
      <c r="T13" s="5">
        <f t="shared" si="16"/>
        <v>3.1349178068384553E-2</v>
      </c>
      <c r="U13" s="5">
        <f t="shared" si="17"/>
        <v>2.9689803362764611E-2</v>
      </c>
      <c r="V13" s="5">
        <f t="shared" si="18"/>
        <v>2.9261078131895379E-2</v>
      </c>
      <c r="W13" s="5">
        <f t="shared" si="19"/>
        <v>2.9557096024253049E-2</v>
      </c>
      <c r="X13" s="5">
        <f t="shared" si="20"/>
        <v>2.9654154250221554E-2</v>
      </c>
      <c r="Y13" s="5">
        <f t="shared" si="22"/>
        <v>2.9775242493244702E-2</v>
      </c>
      <c r="Z13" s="5" t="str">
        <f t="shared" si="23"/>
        <v/>
      </c>
    </row>
    <row r="14" spans="1:26" x14ac:dyDescent="0.3">
      <c r="A14">
        <f t="shared" si="24"/>
        <v>2006</v>
      </c>
      <c r="B14" s="3">
        <v>3.3300000000000003E-2</v>
      </c>
      <c r="D14" s="4">
        <f t="shared" si="1"/>
        <v>1.0333000000000001</v>
      </c>
      <c r="E14" s="4">
        <f t="shared" si="2"/>
        <v>3.3300000000000107E-2</v>
      </c>
      <c r="F14" s="5">
        <f t="shared" si="21"/>
        <v>3.6644587117494298E-2</v>
      </c>
      <c r="G14" s="5">
        <f t="shared" si="3"/>
        <v>3.9090615314615551E-2</v>
      </c>
      <c r="H14" s="5">
        <f t="shared" si="4"/>
        <v>3.9217938082211523E-2</v>
      </c>
      <c r="I14" s="5">
        <f t="shared" si="5"/>
        <v>3.9174346808943605E-2</v>
      </c>
      <c r="J14" s="5">
        <f t="shared" si="6"/>
        <v>4.1713066410002053E-2</v>
      </c>
      <c r="K14" s="5">
        <f t="shared" si="7"/>
        <v>4.292127342485208E-2</v>
      </c>
      <c r="L14" s="5">
        <f t="shared" si="8"/>
        <v>4.4497748510040624E-2</v>
      </c>
      <c r="M14" s="5">
        <f t="shared" si="9"/>
        <v>4.4141958731030995E-2</v>
      </c>
      <c r="N14" s="5">
        <f t="shared" si="10"/>
        <v>4.1313532692947907E-2</v>
      </c>
      <c r="O14" s="5">
        <f t="shared" si="11"/>
        <v>3.9153678158321492E-2</v>
      </c>
      <c r="P14" s="5">
        <f t="shared" si="12"/>
        <v>3.6999820125404481E-2</v>
      </c>
      <c r="Q14" s="5">
        <f t="shared" si="13"/>
        <v>3.5110078383488785E-2</v>
      </c>
      <c r="R14" s="5">
        <f t="shared" si="14"/>
        <v>3.2814487385507185E-2</v>
      </c>
      <c r="S14" s="5">
        <f t="shared" si="15"/>
        <v>3.0854360993639585E-2</v>
      </c>
      <c r="T14" s="5">
        <f t="shared" si="16"/>
        <v>2.9123076162074657E-2</v>
      </c>
      <c r="U14" s="5">
        <f t="shared" si="17"/>
        <v>2.8702700766698008E-2</v>
      </c>
      <c r="V14" s="5">
        <f t="shared" si="18"/>
        <v>2.9046019511073551E-2</v>
      </c>
      <c r="W14" s="5">
        <f t="shared" si="19"/>
        <v>2.9175030708581406E-2</v>
      </c>
      <c r="X14" s="5">
        <f t="shared" si="20"/>
        <v>2.9326068413437767E-2</v>
      </c>
      <c r="Y14" s="5" t="str">
        <f t="shared" si="22"/>
        <v/>
      </c>
      <c r="Z14" s="5" t="str">
        <f t="shared" si="23"/>
        <v/>
      </c>
    </row>
    <row r="15" spans="1:26" x14ac:dyDescent="0.3">
      <c r="A15">
        <f t="shared" si="24"/>
        <v>2007</v>
      </c>
      <c r="B15" s="3">
        <v>0.04</v>
      </c>
      <c r="D15" s="4">
        <f t="shared" si="1"/>
        <v>1.04</v>
      </c>
      <c r="E15" s="4">
        <f t="shared" si="2"/>
        <v>4.0000000000000036E-2</v>
      </c>
      <c r="F15" s="5">
        <f t="shared" si="21"/>
        <v>4.1998080612435595E-2</v>
      </c>
      <c r="G15" s="5">
        <f t="shared" si="3"/>
        <v>4.1198106400472501E-2</v>
      </c>
      <c r="H15" s="5">
        <f t="shared" si="4"/>
        <v>4.0648144217670268E-2</v>
      </c>
      <c r="I15" s="5">
        <f t="shared" si="5"/>
        <v>4.3403881751949536E-2</v>
      </c>
      <c r="J15" s="5">
        <f t="shared" si="6"/>
        <v>4.4533506284754054E-2</v>
      </c>
      <c r="K15" s="5">
        <f t="shared" si="7"/>
        <v>4.6107302363646241E-2</v>
      </c>
      <c r="L15" s="5">
        <f t="shared" si="8"/>
        <v>4.550517795385689E-2</v>
      </c>
      <c r="M15" s="5">
        <f t="shared" si="9"/>
        <v>4.2207752678541821E-2</v>
      </c>
      <c r="N15" s="5">
        <f t="shared" si="10"/>
        <v>3.9740866753041226E-2</v>
      </c>
      <c r="O15" s="5">
        <f t="shared" si="11"/>
        <v>3.7336823600123914E-2</v>
      </c>
      <c r="P15" s="5">
        <f t="shared" si="12"/>
        <v>3.5261061298453633E-2</v>
      </c>
      <c r="Q15" s="5">
        <f t="shared" si="13"/>
        <v>3.2777149711683773E-2</v>
      </c>
      <c r="R15" s="5">
        <f t="shared" si="14"/>
        <v>3.0679894150400733E-2</v>
      </c>
      <c r="S15" s="5">
        <f t="shared" si="15"/>
        <v>2.8845215665021184E-2</v>
      </c>
      <c r="T15" s="5">
        <f t="shared" si="16"/>
        <v>2.8416049648971153E-2</v>
      </c>
      <c r="U15" s="5">
        <f t="shared" si="17"/>
        <v>2.8796331463070368E-2</v>
      </c>
      <c r="V15" s="5">
        <f t="shared" si="18"/>
        <v>2.8946349185210662E-2</v>
      </c>
      <c r="W15" s="5">
        <f t="shared" si="19"/>
        <v>2.9117337991919623E-2</v>
      </c>
      <c r="X15" s="5" t="str">
        <f t="shared" si="20"/>
        <v/>
      </c>
      <c r="Y15" s="5" t="str">
        <f t="shared" si="22"/>
        <v/>
      </c>
      <c r="Z15" s="5" t="str">
        <f t="shared" si="23"/>
        <v/>
      </c>
    </row>
    <row r="16" spans="1:26" x14ac:dyDescent="0.3">
      <c r="A16">
        <f t="shared" si="24"/>
        <v>2008</v>
      </c>
      <c r="B16" s="3">
        <v>4.3999999999999997E-2</v>
      </c>
      <c r="D16" s="4">
        <f t="shared" si="1"/>
        <v>1.044</v>
      </c>
      <c r="E16" s="4">
        <f t="shared" si="2"/>
        <v>4.4000000000000039E-2</v>
      </c>
      <c r="F16" s="5">
        <f t="shared" si="21"/>
        <v>4.1797677094741914E-2</v>
      </c>
      <c r="G16" s="5">
        <f t="shared" si="3"/>
        <v>4.0864282040817157E-2</v>
      </c>
      <c r="H16" s="5">
        <f t="shared" si="4"/>
        <v>4.4256591514464816E-2</v>
      </c>
      <c r="I16" s="5">
        <f t="shared" si="5"/>
        <v>4.5442576253410083E-2</v>
      </c>
      <c r="J16" s="5">
        <f t="shared" si="6"/>
        <v>4.7128667250574408E-2</v>
      </c>
      <c r="K16" s="5">
        <f t="shared" si="7"/>
        <v>4.6294007242397184E-2</v>
      </c>
      <c r="L16" s="5">
        <f t="shared" si="8"/>
        <v>4.2484051093384378E-2</v>
      </c>
      <c r="M16" s="5">
        <f t="shared" si="9"/>
        <v>3.9712078155978769E-2</v>
      </c>
      <c r="N16" s="5">
        <f t="shared" si="10"/>
        <v>3.7070881333222339E-2</v>
      </c>
      <c r="O16" s="5">
        <f t="shared" si="11"/>
        <v>3.4831320937341648E-2</v>
      </c>
      <c r="P16" s="5">
        <f t="shared" si="12"/>
        <v>3.2177514646213989E-2</v>
      </c>
      <c r="Q16" s="5">
        <f t="shared" si="13"/>
        <v>2.9966432062566772E-2</v>
      </c>
      <c r="R16" s="5">
        <f t="shared" si="14"/>
        <v>2.8053038827695165E-2</v>
      </c>
      <c r="S16" s="5">
        <f t="shared" si="15"/>
        <v>2.7648389896502756E-2</v>
      </c>
      <c r="T16" s="5">
        <f t="shared" si="16"/>
        <v>2.8100123172978941E-2</v>
      </c>
      <c r="U16" s="5">
        <f t="shared" si="17"/>
        <v>2.8299805360683994E-2</v>
      </c>
      <c r="V16" s="5">
        <f t="shared" si="18"/>
        <v>2.8516095707151301E-2</v>
      </c>
      <c r="W16" s="5" t="str">
        <f t="shared" si="19"/>
        <v/>
      </c>
      <c r="X16" s="5" t="str">
        <f t="shared" si="20"/>
        <v/>
      </c>
      <c r="Y16" s="5" t="str">
        <f t="shared" si="22"/>
        <v/>
      </c>
      <c r="Z16" s="5" t="str">
        <f t="shared" si="23"/>
        <v/>
      </c>
    </row>
    <row r="17" spans="1:26" x14ac:dyDescent="0.3">
      <c r="A17">
        <f t="shared" si="24"/>
        <v>2009</v>
      </c>
      <c r="B17" s="3">
        <v>3.9600000000000003E-2</v>
      </c>
      <c r="D17" s="4">
        <f t="shared" si="1"/>
        <v>1.0396000000000001</v>
      </c>
      <c r="E17" s="4">
        <f t="shared" si="2"/>
        <v>3.960000000000008E-2</v>
      </c>
      <c r="F17" s="5">
        <f t="shared" si="21"/>
        <v>3.9299956701625227E-2</v>
      </c>
      <c r="G17" s="5">
        <f t="shared" si="3"/>
        <v>4.4342136032826218E-2</v>
      </c>
      <c r="H17" s="5">
        <f t="shared" si="4"/>
        <v>4.5803531665511876E-2</v>
      </c>
      <c r="I17" s="5">
        <f t="shared" si="5"/>
        <v>4.7755524924457449E-2</v>
      </c>
      <c r="J17" s="5">
        <f t="shared" si="6"/>
        <v>4.6676831550023445E-2</v>
      </c>
      <c r="K17" s="5">
        <f t="shared" si="7"/>
        <v>4.2267666732040077E-2</v>
      </c>
      <c r="L17" s="5">
        <f t="shared" si="8"/>
        <v>3.9177327711427345E-2</v>
      </c>
      <c r="M17" s="5">
        <f t="shared" si="9"/>
        <v>3.6303823696581805E-2</v>
      </c>
      <c r="N17" s="5">
        <f t="shared" si="10"/>
        <v>3.3918893442787423E-2</v>
      </c>
      <c r="O17" s="5">
        <f t="shared" si="11"/>
        <v>3.1109404854177791E-2</v>
      </c>
      <c r="P17" s="5">
        <f t="shared" si="12"/>
        <v>2.8805518306328715E-2</v>
      </c>
      <c r="Q17" s="5">
        <f t="shared" si="13"/>
        <v>2.6836486709873819E-2</v>
      </c>
      <c r="R17" s="5">
        <f t="shared" si="14"/>
        <v>2.6490265610190633E-2</v>
      </c>
      <c r="S17" s="5">
        <f t="shared" si="15"/>
        <v>2.704878231045682E-2</v>
      </c>
      <c r="T17" s="5">
        <f t="shared" si="16"/>
        <v>2.7326419811553704E-2</v>
      </c>
      <c r="U17" s="5">
        <f>+IF(TYPE(GEOMEAN($D17:$D33)-1)&gt;1,"",GEOMEAN($D17:$D33)-1)</f>
        <v>2.7612462956913442E-2</v>
      </c>
      <c r="V17" s="5" t="str">
        <f t="shared" si="18"/>
        <v/>
      </c>
      <c r="W17" s="5" t="str">
        <f t="shared" si="19"/>
        <v/>
      </c>
      <c r="X17" s="5" t="str">
        <f t="shared" si="20"/>
        <v/>
      </c>
      <c r="Y17" s="5" t="str">
        <f t="shared" si="22"/>
        <v/>
      </c>
      <c r="Z17" s="5" t="str">
        <f t="shared" si="23"/>
        <v/>
      </c>
    </row>
    <row r="18" spans="1:26" x14ac:dyDescent="0.3">
      <c r="A18">
        <f t="shared" si="24"/>
        <v>2010</v>
      </c>
      <c r="B18" s="3">
        <v>3.9E-2</v>
      </c>
      <c r="D18" s="4">
        <f t="shared" si="1"/>
        <v>1.0389999999999999</v>
      </c>
      <c r="E18" s="4">
        <f t="shared" si="2"/>
        <v>3.8999999999999924E-2</v>
      </c>
      <c r="F18" s="5">
        <f t="shared" si="21"/>
        <v>4.6721309613977358E-2</v>
      </c>
      <c r="G18" s="5">
        <f t="shared" si="3"/>
        <v>4.7879590871898081E-2</v>
      </c>
      <c r="H18" s="5">
        <f t="shared" si="4"/>
        <v>4.9804383338346137E-2</v>
      </c>
      <c r="I18" s="5">
        <f t="shared" si="5"/>
        <v>4.8097968261413993E-2</v>
      </c>
      <c r="J18" s="5">
        <f t="shared" si="6"/>
        <v>4.2712942902228157E-2</v>
      </c>
      <c r="K18" s="5">
        <f t="shared" si="7"/>
        <v>3.9116959985851407E-2</v>
      </c>
      <c r="L18" s="5">
        <f t="shared" si="8"/>
        <v>3.58925371696448E-2</v>
      </c>
      <c r="M18" s="5">
        <f t="shared" si="9"/>
        <v>3.3289578884917015E-2</v>
      </c>
      <c r="N18" s="5">
        <f t="shared" si="10"/>
        <v>3.0264168650439238E-2</v>
      </c>
      <c r="O18" s="5">
        <f t="shared" si="11"/>
        <v>2.7829777166915148E-2</v>
      </c>
      <c r="P18" s="5">
        <f t="shared" si="12"/>
        <v>2.5779960643222299E-2</v>
      </c>
      <c r="Q18" s="5">
        <f t="shared" si="13"/>
        <v>2.5488698747433425E-2</v>
      </c>
      <c r="R18" s="5">
        <f t="shared" si="14"/>
        <v>2.6158086989533702E-2</v>
      </c>
      <c r="S18" s="5">
        <f t="shared" si="15"/>
        <v>2.6513352258073164E-2</v>
      </c>
      <c r="T18" s="5">
        <f>+IF(TYPE(GEOMEAN($D18:$D33)-1)&gt;1,"",GEOMEAN($D18:$D33)-1)</f>
        <v>2.6867848099357161E-2</v>
      </c>
      <c r="U18" s="5" t="str">
        <f t="shared" si="17"/>
        <v/>
      </c>
      <c r="V18" s="5" t="str">
        <f t="shared" si="18"/>
        <v/>
      </c>
      <c r="W18" s="5" t="str">
        <f t="shared" si="19"/>
        <v/>
      </c>
      <c r="X18" s="5" t="str">
        <f t="shared" si="20"/>
        <v/>
      </c>
      <c r="Y18" s="5" t="str">
        <f t="shared" si="22"/>
        <v/>
      </c>
      <c r="Z18" s="5" t="str">
        <f t="shared" si="23"/>
        <v/>
      </c>
    </row>
    <row r="19" spans="1:26" x14ac:dyDescent="0.3">
      <c r="A19">
        <f t="shared" si="24"/>
        <v>2011</v>
      </c>
      <c r="B19" s="3">
        <v>5.45E-2</v>
      </c>
      <c r="D19" s="4">
        <f t="shared" si="1"/>
        <v>1.0545</v>
      </c>
      <c r="E19" s="4">
        <f t="shared" si="2"/>
        <v>5.4499999999999993E-2</v>
      </c>
      <c r="F19" s="5">
        <f t="shared" si="21"/>
        <v>5.2347803722704533E-2</v>
      </c>
      <c r="G19" s="5">
        <f t="shared" si="3"/>
        <v>5.343075432284472E-2</v>
      </c>
      <c r="H19" s="5">
        <f t="shared" si="4"/>
        <v>5.0384881001323878E-2</v>
      </c>
      <c r="I19" s="5">
        <f t="shared" si="5"/>
        <v>4.345712218473996E-2</v>
      </c>
      <c r="J19" s="5">
        <f t="shared" si="6"/>
        <v>3.9136454596829795E-2</v>
      </c>
      <c r="K19" s="5">
        <f t="shared" si="7"/>
        <v>3.5449373240195481E-2</v>
      </c>
      <c r="L19" s="5">
        <f t="shared" si="8"/>
        <v>3.2577986542803528E-2</v>
      </c>
      <c r="M19" s="5">
        <f t="shared" si="9"/>
        <v>2.929806602540963E-2</v>
      </c>
      <c r="N19" s="5">
        <f t="shared" si="10"/>
        <v>2.6719381265446707E-2</v>
      </c>
      <c r="O19" s="5">
        <f t="shared" si="11"/>
        <v>2.4586512196469235E-2</v>
      </c>
      <c r="P19" s="5">
        <f t="shared" si="12"/>
        <v>2.4370719719548184E-2</v>
      </c>
      <c r="Q19" s="5">
        <f t="shared" si="13"/>
        <v>2.5176847066042951E-2</v>
      </c>
      <c r="R19" s="5">
        <f t="shared" si="14"/>
        <v>2.5627212573128499E-2</v>
      </c>
      <c r="S19" s="5">
        <f>+IF(TYPE(GEOMEAN($D19:$D33)-1)&gt;1,"",GEOMEAN($D19:$D33)-1)</f>
        <v>2.6064093324242643E-2</v>
      </c>
      <c r="T19" s="5" t="str">
        <f t="shared" si="16"/>
        <v/>
      </c>
      <c r="U19" s="5" t="str">
        <f t="shared" si="17"/>
        <v/>
      </c>
      <c r="V19" s="5" t="str">
        <f t="shared" si="18"/>
        <v/>
      </c>
      <c r="W19" s="5" t="str">
        <f t="shared" si="19"/>
        <v/>
      </c>
      <c r="X19" s="5" t="str">
        <f t="shared" si="20"/>
        <v/>
      </c>
      <c r="Y19" s="5" t="str">
        <f t="shared" si="22"/>
        <v/>
      </c>
      <c r="Z19" s="5" t="str">
        <f t="shared" si="23"/>
        <v/>
      </c>
    </row>
    <row r="20" spans="1:26" x14ac:dyDescent="0.3">
      <c r="A20">
        <f t="shared" si="24"/>
        <v>2012</v>
      </c>
      <c r="B20" s="3">
        <v>5.0200000000000002E-2</v>
      </c>
      <c r="D20" s="4">
        <f t="shared" si="1"/>
        <v>1.0502</v>
      </c>
      <c r="E20" s="4">
        <f t="shared" si="2"/>
        <v>5.0200000000000022E-2</v>
      </c>
      <c r="F20" s="5">
        <f t="shared" si="21"/>
        <v>5.2896538127084947E-2</v>
      </c>
      <c r="G20" s="5">
        <f t="shared" si="3"/>
        <v>4.901674643257059E-2</v>
      </c>
      <c r="H20" s="5">
        <f t="shared" si="4"/>
        <v>4.0714519415145478E-2</v>
      </c>
      <c r="I20" s="5">
        <f t="shared" si="5"/>
        <v>3.6090711279688659E-2</v>
      </c>
      <c r="J20" s="5">
        <f t="shared" si="6"/>
        <v>3.2307898993822359E-2</v>
      </c>
      <c r="K20" s="5">
        <f t="shared" si="7"/>
        <v>2.9483696489613465E-2</v>
      </c>
      <c r="L20" s="5">
        <f t="shared" si="8"/>
        <v>2.6190472866979064E-2</v>
      </c>
      <c r="M20" s="5">
        <f t="shared" si="9"/>
        <v>2.3678180459192566E-2</v>
      </c>
      <c r="N20" s="5">
        <f t="shared" si="10"/>
        <v>2.1642237375582019E-2</v>
      </c>
      <c r="O20" s="5">
        <f t="shared" si="11"/>
        <v>2.1674756074711476E-2</v>
      </c>
      <c r="P20" s="5">
        <f t="shared" si="12"/>
        <v>2.2770374553928718E-2</v>
      </c>
      <c r="Q20" s="5">
        <f t="shared" si="13"/>
        <v>2.3439253270937321E-2</v>
      </c>
      <c r="R20" s="5">
        <f>+IF(TYPE(GEOMEAN($D20:$D33)-1)&gt;1,"",GEOMEAN($D20:$D33)-1)</f>
        <v>2.4062547485445229E-2</v>
      </c>
      <c r="S20" s="5" t="str">
        <f t="shared" si="15"/>
        <v/>
      </c>
      <c r="T20" s="5" t="str">
        <f t="shared" si="16"/>
        <v/>
      </c>
      <c r="U20" s="5" t="str">
        <f t="shared" si="17"/>
        <v/>
      </c>
      <c r="V20" s="5" t="str">
        <f t="shared" si="18"/>
        <v/>
      </c>
      <c r="W20" s="5" t="str">
        <f t="shared" si="19"/>
        <v/>
      </c>
      <c r="X20" s="5" t="str">
        <f t="shared" si="20"/>
        <v/>
      </c>
      <c r="Y20" s="5" t="str">
        <f t="shared" si="22"/>
        <v/>
      </c>
      <c r="Z20" s="5" t="str">
        <f t="shared" si="23"/>
        <v/>
      </c>
    </row>
    <row r="21" spans="1:26" x14ac:dyDescent="0.3">
      <c r="A21">
        <f t="shared" si="24"/>
        <v>2013</v>
      </c>
      <c r="B21" s="3">
        <v>5.5599999999999997E-2</v>
      </c>
      <c r="D21" s="4">
        <f t="shared" si="1"/>
        <v>1.0556000000000001</v>
      </c>
      <c r="E21" s="4">
        <f t="shared" si="2"/>
        <v>5.5600000000000094E-2</v>
      </c>
      <c r="F21" s="5">
        <f t="shared" si="21"/>
        <v>4.8425619679336229E-2</v>
      </c>
      <c r="G21" s="5">
        <f t="shared" si="3"/>
        <v>3.7571769473216055E-2</v>
      </c>
      <c r="H21" s="5">
        <f t="shared" si="4"/>
        <v>3.2593107339833782E-2</v>
      </c>
      <c r="I21" s="5">
        <f t="shared" si="5"/>
        <v>2.8766225270479673E-2</v>
      </c>
      <c r="J21" s="5">
        <f t="shared" si="6"/>
        <v>2.6070928880880695E-2</v>
      </c>
      <c r="K21" s="5">
        <f t="shared" si="7"/>
        <v>2.2805644620163878E-2</v>
      </c>
      <c r="L21" s="5">
        <f t="shared" si="8"/>
        <v>2.0410398239461891E-2</v>
      </c>
      <c r="M21" s="5">
        <f t="shared" si="9"/>
        <v>1.8517479851838159E-2</v>
      </c>
      <c r="N21" s="5">
        <f t="shared" si="10"/>
        <v>1.8865197188857818E-2</v>
      </c>
      <c r="O21" s="5">
        <f t="shared" si="11"/>
        <v>2.0312581930749918E-2</v>
      </c>
      <c r="P21" s="5">
        <f>+IF(TYPE(GEOMEAN($D21:$D32)-1)&gt;1,"",GEOMEAN($D21:$D32)-1)</f>
        <v>2.1240214146019953E-2</v>
      </c>
      <c r="Q21" s="5">
        <f>+IF(TYPE(GEOMEAN($D21:$D33)-1)&gt;1,"",GEOMEAN($D21:$D33)-1)</f>
        <v>2.2079127289489797E-2</v>
      </c>
      <c r="R21" s="5" t="str">
        <f t="shared" si="14"/>
        <v/>
      </c>
      <c r="S21" s="5" t="str">
        <f t="shared" si="15"/>
        <v/>
      </c>
      <c r="T21" s="5" t="str">
        <f t="shared" si="16"/>
        <v/>
      </c>
      <c r="U21" s="5" t="str">
        <f t="shared" si="17"/>
        <v/>
      </c>
      <c r="V21" s="5" t="str">
        <f t="shared" si="18"/>
        <v/>
      </c>
      <c r="W21" s="5" t="str">
        <f t="shared" si="19"/>
        <v/>
      </c>
      <c r="X21" s="5" t="str">
        <f t="shared" si="20"/>
        <v/>
      </c>
      <c r="Y21" s="5" t="str">
        <f t="shared" si="22"/>
        <v/>
      </c>
      <c r="Z21" s="5" t="str">
        <f t="shared" si="23"/>
        <v/>
      </c>
    </row>
    <row r="22" spans="1:26" x14ac:dyDescent="0.3">
      <c r="A22">
        <f t="shared" si="24"/>
        <v>2014</v>
      </c>
      <c r="B22" s="3">
        <v>4.1300000000000003E-2</v>
      </c>
      <c r="D22" s="4">
        <f t="shared" si="1"/>
        <v>1.0413000000000001</v>
      </c>
      <c r="E22" s="4">
        <f t="shared" si="2"/>
        <v>4.1300000000000114E-2</v>
      </c>
      <c r="F22" s="5">
        <f t="shared" si="21"/>
        <v>2.8673446726413809E-2</v>
      </c>
      <c r="G22" s="5">
        <f t="shared" si="3"/>
        <v>2.5036118265009399E-2</v>
      </c>
      <c r="H22" s="5">
        <f t="shared" si="4"/>
        <v>2.2165048645942154E-2</v>
      </c>
      <c r="I22" s="5">
        <f t="shared" si="5"/>
        <v>2.0264988146954988E-2</v>
      </c>
      <c r="J22" s="5">
        <f t="shared" si="6"/>
        <v>1.7439838161064536E-2</v>
      </c>
      <c r="K22" s="5">
        <f t="shared" si="7"/>
        <v>1.5480000766313173E-2</v>
      </c>
      <c r="L22" s="5">
        <f t="shared" si="8"/>
        <v>1.3974714067189531E-2</v>
      </c>
      <c r="M22" s="5">
        <f t="shared" si="9"/>
        <v>1.4863291376050469E-2</v>
      </c>
      <c r="N22" s="5">
        <f t="shared" si="10"/>
        <v>1.684938014567483E-2</v>
      </c>
      <c r="O22" s="5">
        <f t="shared" si="11"/>
        <v>1.8172611342009537E-2</v>
      </c>
      <c r="P22" s="5">
        <f>+IF(TYPE(GEOMEAN($D22:$D33)-1)&gt;1,"",GEOMEAN($D22:$D33)-1)</f>
        <v>1.9334243428144049E-2</v>
      </c>
      <c r="Q22" s="5" t="str">
        <f t="shared" si="13"/>
        <v/>
      </c>
      <c r="R22" s="5" t="str">
        <f t="shared" si="14"/>
        <v/>
      </c>
      <c r="S22" s="5" t="str">
        <f t="shared" si="15"/>
        <v/>
      </c>
      <c r="T22" s="5" t="str">
        <f t="shared" si="16"/>
        <v/>
      </c>
      <c r="U22" s="5" t="str">
        <f t="shared" si="17"/>
        <v/>
      </c>
      <c r="V22" s="5" t="str">
        <f t="shared" si="18"/>
        <v/>
      </c>
      <c r="W22" s="5" t="str">
        <f t="shared" si="19"/>
        <v/>
      </c>
      <c r="X22" s="5" t="str">
        <f t="shared" si="20"/>
        <v/>
      </c>
      <c r="Y22" s="5" t="str">
        <f t="shared" si="22"/>
        <v/>
      </c>
      <c r="Z22" s="5" t="str">
        <f t="shared" si="23"/>
        <v/>
      </c>
    </row>
    <row r="23" spans="1:26" x14ac:dyDescent="0.3">
      <c r="A23">
        <f t="shared" si="24"/>
        <v>2015</v>
      </c>
      <c r="B23" s="3">
        <v>1.6199999999999999E-2</v>
      </c>
      <c r="D23" s="4">
        <f t="shared" si="1"/>
        <v>1.0162</v>
      </c>
      <c r="E23" s="4">
        <f t="shared" si="2"/>
        <v>1.6199999999999992E-2</v>
      </c>
      <c r="F23" s="5">
        <f t="shared" si="21"/>
        <v>1.6999685349017302E-2</v>
      </c>
      <c r="G23" s="5">
        <f t="shared" si="3"/>
        <v>1.5865191808488222E-2</v>
      </c>
      <c r="H23" s="5">
        <f t="shared" si="4"/>
        <v>1.5072967611998944E-2</v>
      </c>
      <c r="I23" s="5">
        <f t="shared" si="5"/>
        <v>1.2733818161775101E-2</v>
      </c>
      <c r="J23" s="5">
        <f t="shared" si="6"/>
        <v>1.1239345892569919E-2</v>
      </c>
      <c r="K23" s="5">
        <f t="shared" si="7"/>
        <v>1.0130081341473085E-2</v>
      </c>
      <c r="L23" s="5">
        <f t="shared" si="8"/>
        <v>1.1606248804511887E-2</v>
      </c>
      <c r="M23" s="5">
        <f t="shared" si="9"/>
        <v>1.416833354588376E-2</v>
      </c>
      <c r="N23" s="5">
        <f t="shared" si="10"/>
        <v>1.5888314130999781E-2</v>
      </c>
      <c r="O23" s="5">
        <f>+IF(TYPE(GEOMEAN($D23:$D33)-1)&gt;1,"",GEOMEAN($D23:$D33)-1)</f>
        <v>1.7360481255151772E-2</v>
      </c>
      <c r="P23" s="5" t="str">
        <f t="shared" ref="P23:P33" si="25">+IF(TYPE(GEOMEAN($D23:$D34)-1)&gt;1,"",GEOMEAN($D23:$D34)-1)</f>
        <v/>
      </c>
      <c r="Q23" s="5" t="str">
        <f t="shared" si="13"/>
        <v/>
      </c>
      <c r="R23" s="5" t="str">
        <f t="shared" si="14"/>
        <v/>
      </c>
      <c r="S23" s="5" t="str">
        <f t="shared" si="15"/>
        <v/>
      </c>
      <c r="T23" s="5" t="str">
        <f t="shared" si="16"/>
        <v/>
      </c>
      <c r="U23" s="5" t="str">
        <f t="shared" si="17"/>
        <v/>
      </c>
      <c r="V23" s="5" t="str">
        <f t="shared" si="18"/>
        <v/>
      </c>
      <c r="W23" s="5" t="str">
        <f t="shared" si="19"/>
        <v/>
      </c>
      <c r="X23" s="5" t="str">
        <f t="shared" si="20"/>
        <v/>
      </c>
      <c r="Y23" s="5" t="str">
        <f t="shared" si="22"/>
        <v/>
      </c>
      <c r="Z23" s="5" t="str">
        <f t="shared" si="23"/>
        <v/>
      </c>
    </row>
    <row r="24" spans="1:26" x14ac:dyDescent="0.3">
      <c r="A24">
        <f t="shared" si="24"/>
        <v>2016</v>
      </c>
      <c r="B24" s="3">
        <v>1.78E-2</v>
      </c>
      <c r="D24" s="4">
        <f t="shared" si="1"/>
        <v>1.0178</v>
      </c>
      <c r="E24" s="4">
        <f t="shared" si="2"/>
        <v>1.7800000000000038E-2</v>
      </c>
      <c r="F24" s="5">
        <f t="shared" si="21"/>
        <v>1.5697829081070758E-2</v>
      </c>
      <c r="G24" s="5">
        <f t="shared" si="3"/>
        <v>1.4697567985103799E-2</v>
      </c>
      <c r="H24" s="5">
        <f t="shared" si="4"/>
        <v>1.1869121605750488E-2</v>
      </c>
      <c r="I24" s="5">
        <f t="shared" si="5"/>
        <v>1.0250124757371859E-2</v>
      </c>
      <c r="J24" s="5">
        <f t="shared" si="6"/>
        <v>9.121959039377403E-3</v>
      </c>
      <c r="K24" s="5">
        <f t="shared" si="7"/>
        <v>1.095169602279733E-2</v>
      </c>
      <c r="L24" s="5">
        <f t="shared" si="8"/>
        <v>1.3914661005792972E-2</v>
      </c>
      <c r="M24" s="5">
        <f t="shared" si="9"/>
        <v>1.5853688269509503E-2</v>
      </c>
      <c r="N24" s="5">
        <f>+IF(TYPE(GEOMEAN($D24:$D33)-1)&gt;1,"",GEOMEAN($D24:$D33)-1)</f>
        <v>1.7476602244334227E-2</v>
      </c>
      <c r="O24" s="5" t="str">
        <f t="shared" si="11"/>
        <v/>
      </c>
      <c r="P24" s="5" t="str">
        <f t="shared" si="25"/>
        <v/>
      </c>
      <c r="Q24" s="5" t="str">
        <f t="shared" si="13"/>
        <v/>
      </c>
      <c r="R24" s="5" t="str">
        <f t="shared" si="14"/>
        <v/>
      </c>
      <c r="S24" s="5" t="str">
        <f t="shared" si="15"/>
        <v/>
      </c>
      <c r="T24" s="5" t="str">
        <f t="shared" si="16"/>
        <v/>
      </c>
      <c r="U24" s="5" t="str">
        <f t="shared" si="17"/>
        <v/>
      </c>
      <c r="V24" s="5" t="str">
        <f t="shared" si="18"/>
        <v/>
      </c>
      <c r="W24" s="5" t="str">
        <f t="shared" si="19"/>
        <v/>
      </c>
      <c r="X24" s="5" t="str">
        <f t="shared" si="20"/>
        <v/>
      </c>
      <c r="Y24" s="5" t="str">
        <f t="shared" si="22"/>
        <v/>
      </c>
      <c r="Z24" s="5" t="str">
        <f t="shared" si="23"/>
        <v/>
      </c>
    </row>
    <row r="25" spans="1:26" x14ac:dyDescent="0.3">
      <c r="A25">
        <f t="shared" si="24"/>
        <v>2017</v>
      </c>
      <c r="B25" s="3">
        <v>1.3599999999999999E-2</v>
      </c>
      <c r="D25" s="4">
        <f t="shared" si="1"/>
        <v>1.0136000000000001</v>
      </c>
      <c r="E25" s="4">
        <f t="shared" si="2"/>
        <v>1.3600000000000056E-2</v>
      </c>
      <c r="F25" s="5">
        <f t="shared" si="21"/>
        <v>1.3149900064151288E-2</v>
      </c>
      <c r="G25" s="5">
        <f t="shared" si="3"/>
        <v>9.8998521431417075E-3</v>
      </c>
      <c r="H25" s="5">
        <f t="shared" si="4"/>
        <v>8.3714228130506996E-3</v>
      </c>
      <c r="I25" s="5">
        <f t="shared" si="5"/>
        <v>7.3952500748051264E-3</v>
      </c>
      <c r="J25" s="5">
        <f t="shared" si="6"/>
        <v>9.8148003342566348E-3</v>
      </c>
      <c r="K25" s="5">
        <f t="shared" si="7"/>
        <v>1.3360824664392812E-2</v>
      </c>
      <c r="L25" s="5">
        <f t="shared" si="8"/>
        <v>1.5610661143968363E-2</v>
      </c>
      <c r="M25" s="5">
        <f>+IF(TYPE(GEOMEAN($D25:$D33)-1)&gt;1,"",GEOMEAN($D25:$D33)-1)</f>
        <v>1.7440675503995307E-2</v>
      </c>
      <c r="N25" s="5" t="str">
        <f t="shared" si="10"/>
        <v/>
      </c>
      <c r="O25" s="5" t="str">
        <f t="shared" si="11"/>
        <v/>
      </c>
      <c r="P25" s="5" t="str">
        <f t="shared" si="25"/>
        <v/>
      </c>
      <c r="Q25" s="5" t="str">
        <f t="shared" si="13"/>
        <v/>
      </c>
      <c r="R25" s="5" t="str">
        <f t="shared" si="14"/>
        <v/>
      </c>
      <c r="S25" s="5" t="str">
        <f t="shared" si="15"/>
        <v/>
      </c>
      <c r="T25" s="5" t="str">
        <f t="shared" si="16"/>
        <v/>
      </c>
      <c r="U25" s="5" t="str">
        <f t="shared" si="17"/>
        <v/>
      </c>
      <c r="V25" s="5" t="str">
        <f t="shared" si="18"/>
        <v/>
      </c>
      <c r="W25" s="5" t="str">
        <f t="shared" si="19"/>
        <v/>
      </c>
      <c r="X25" s="5" t="str">
        <f t="shared" si="20"/>
        <v/>
      </c>
      <c r="Y25" s="5" t="str">
        <f t="shared" si="22"/>
        <v/>
      </c>
      <c r="Z25" s="5" t="str">
        <f t="shared" si="23"/>
        <v/>
      </c>
    </row>
    <row r="26" spans="1:26" x14ac:dyDescent="0.3">
      <c r="A26">
        <f t="shared" si="24"/>
        <v>2018</v>
      </c>
      <c r="B26" s="3">
        <v>1.2699999999999999E-2</v>
      </c>
      <c r="D26" s="4">
        <f t="shared" si="1"/>
        <v>1.0126999999999999</v>
      </c>
      <c r="E26" s="4">
        <f t="shared" si="2"/>
        <v>1.2699999999999934E-2</v>
      </c>
      <c r="F26" s="5">
        <f t="shared" si="21"/>
        <v>8.05484657333988E-3</v>
      </c>
      <c r="G26" s="5">
        <f t="shared" si="3"/>
        <v>6.6345642385343684E-3</v>
      </c>
      <c r="H26" s="5">
        <f t="shared" si="4"/>
        <v>5.8500064442801314E-3</v>
      </c>
      <c r="I26" s="5">
        <f t="shared" si="5"/>
        <v>9.05945835241595E-3</v>
      </c>
      <c r="J26" s="5">
        <f t="shared" si="6"/>
        <v>1.3320967595777056E-2</v>
      </c>
      <c r="K26" s="5">
        <f t="shared" si="7"/>
        <v>1.5898223858899385E-2</v>
      </c>
      <c r="L26" s="5">
        <f>+IF(TYPE(GEOMEAN($D26:$D33)-1)&gt;1,"",GEOMEAN($D26:$D33)-1)</f>
        <v>1.7921782061761649E-2</v>
      </c>
      <c r="M26" s="5" t="str">
        <f t="shared" si="9"/>
        <v/>
      </c>
      <c r="N26" s="5" t="str">
        <f t="shared" si="10"/>
        <v/>
      </c>
      <c r="O26" s="5" t="str">
        <f t="shared" si="11"/>
        <v/>
      </c>
      <c r="P26" s="5" t="str">
        <f t="shared" si="25"/>
        <v/>
      </c>
      <c r="Q26" s="5" t="str">
        <f t="shared" si="13"/>
        <v/>
      </c>
      <c r="R26" s="5" t="str">
        <f t="shared" si="14"/>
        <v/>
      </c>
      <c r="S26" s="5" t="str">
        <f t="shared" si="15"/>
        <v/>
      </c>
      <c r="T26" s="5" t="str">
        <f t="shared" si="16"/>
        <v/>
      </c>
      <c r="U26" s="5" t="str">
        <f t="shared" si="17"/>
        <v/>
      </c>
      <c r="V26" s="5" t="str">
        <f t="shared" si="18"/>
        <v/>
      </c>
      <c r="W26" s="5" t="str">
        <f t="shared" si="19"/>
        <v/>
      </c>
      <c r="X26" s="5" t="str">
        <f t="shared" si="20"/>
        <v/>
      </c>
      <c r="Y26" s="5" t="str">
        <f t="shared" si="22"/>
        <v/>
      </c>
      <c r="Z26" s="5" t="str">
        <f t="shared" si="23"/>
        <v/>
      </c>
    </row>
    <row r="27" spans="1:26" x14ac:dyDescent="0.3">
      <c r="A27">
        <f t="shared" si="24"/>
        <v>2019</v>
      </c>
      <c r="B27" s="3">
        <v>3.431E-3</v>
      </c>
      <c r="D27" s="4">
        <f t="shared" si="1"/>
        <v>1.003431</v>
      </c>
      <c r="E27" s="4">
        <f t="shared" si="2"/>
        <v>3.4309999999999619E-3</v>
      </c>
      <c r="F27" s="5">
        <f t="shared" si="21"/>
        <v>3.6154830411894157E-3</v>
      </c>
      <c r="G27" s="5">
        <f t="shared" si="3"/>
        <v>3.576987217555283E-3</v>
      </c>
      <c r="H27" s="5">
        <f t="shared" si="4"/>
        <v>8.151369677199316E-3</v>
      </c>
      <c r="I27" s="5">
        <f t="shared" si="5"/>
        <v>1.3445206799267861E-2</v>
      </c>
      <c r="J27" s="5">
        <f t="shared" si="6"/>
        <v>1.6432242288082266E-2</v>
      </c>
      <c r="K27" s="5">
        <f>+IF(TYPE(GEOMEAN($D27:$D33)-1)&gt;1,"",GEOMEAN($D27:$D33)-1)</f>
        <v>1.8669945661407894E-2</v>
      </c>
      <c r="L27" s="5" t="str">
        <f t="shared" si="8"/>
        <v/>
      </c>
      <c r="M27" s="5" t="str">
        <f t="shared" si="9"/>
        <v/>
      </c>
      <c r="N27" s="5" t="str">
        <f t="shared" si="10"/>
        <v/>
      </c>
      <c r="O27" s="5" t="str">
        <f t="shared" si="11"/>
        <v/>
      </c>
      <c r="P27" s="5" t="str">
        <f t="shared" si="25"/>
        <v/>
      </c>
      <c r="Q27" s="5" t="str">
        <f t="shared" si="13"/>
        <v/>
      </c>
      <c r="R27" s="5" t="str">
        <f t="shared" si="14"/>
        <v/>
      </c>
      <c r="S27" s="5" t="str">
        <f t="shared" si="15"/>
        <v/>
      </c>
      <c r="T27" s="5" t="str">
        <f t="shared" si="16"/>
        <v/>
      </c>
      <c r="U27" s="5" t="str">
        <f t="shared" si="17"/>
        <v/>
      </c>
      <c r="V27" s="5" t="str">
        <f t="shared" si="18"/>
        <v/>
      </c>
      <c r="W27" s="5" t="str">
        <f t="shared" si="19"/>
        <v/>
      </c>
      <c r="X27" s="5" t="str">
        <f t="shared" si="20"/>
        <v/>
      </c>
      <c r="Y27" s="5" t="str">
        <f t="shared" si="22"/>
        <v/>
      </c>
      <c r="Z27" s="5" t="str">
        <f t="shared" si="23"/>
        <v/>
      </c>
    </row>
    <row r="28" spans="1:26" x14ac:dyDescent="0.3">
      <c r="A28">
        <f t="shared" si="24"/>
        <v>2020</v>
      </c>
      <c r="B28" s="3">
        <v>3.8E-3</v>
      </c>
      <c r="D28" s="4">
        <f t="shared" si="1"/>
        <v>1.0038</v>
      </c>
      <c r="E28" s="4">
        <f t="shared" si="2"/>
        <v>3.8000000000000256E-3</v>
      </c>
      <c r="F28" s="5">
        <f t="shared" si="21"/>
        <v>3.6499887909131612E-3</v>
      </c>
      <c r="G28" s="5">
        <f t="shared" si="3"/>
        <v>9.7297556882700587E-3</v>
      </c>
      <c r="H28" s="5">
        <f t="shared" si="4"/>
        <v>1.5964335556664322E-2</v>
      </c>
      <c r="I28" s="5">
        <f t="shared" si="5"/>
        <v>1.9052635826038333E-2</v>
      </c>
      <c r="J28" s="5">
        <f>+IF(TYPE(GEOMEAN($D28:$D33)-1)&gt;1,"",GEOMEAN($D28:$D33)-1)</f>
        <v>2.1232175951756194E-2</v>
      </c>
      <c r="K28" s="5" t="str">
        <f t="shared" si="7"/>
        <v/>
      </c>
      <c r="L28" s="5" t="str">
        <f t="shared" si="8"/>
        <v/>
      </c>
      <c r="M28" s="5" t="str">
        <f t="shared" si="9"/>
        <v/>
      </c>
      <c r="N28" s="5" t="str">
        <f t="shared" si="10"/>
        <v/>
      </c>
      <c r="O28" s="5" t="str">
        <f t="shared" si="11"/>
        <v/>
      </c>
      <c r="P28" s="5" t="str">
        <f t="shared" si="25"/>
        <v/>
      </c>
      <c r="Q28" s="5" t="str">
        <f t="shared" si="13"/>
        <v/>
      </c>
      <c r="R28" s="5" t="str">
        <f t="shared" si="14"/>
        <v/>
      </c>
      <c r="S28" s="5" t="str">
        <f t="shared" si="15"/>
        <v/>
      </c>
      <c r="T28" s="5" t="str">
        <f t="shared" si="16"/>
        <v/>
      </c>
      <c r="U28" s="5" t="str">
        <f t="shared" si="17"/>
        <v/>
      </c>
      <c r="V28" s="5" t="str">
        <f t="shared" si="18"/>
        <v/>
      </c>
      <c r="W28" s="5" t="str">
        <f t="shared" si="19"/>
        <v/>
      </c>
      <c r="X28" s="5" t="str">
        <f t="shared" si="20"/>
        <v/>
      </c>
      <c r="Y28" s="5" t="str">
        <f t="shared" si="22"/>
        <v/>
      </c>
      <c r="Z28" s="5" t="str">
        <f t="shared" si="23"/>
        <v/>
      </c>
    </row>
    <row r="29" spans="1:26" x14ac:dyDescent="0.3">
      <c r="A29">
        <f t="shared" si="24"/>
        <v>2021</v>
      </c>
      <c r="B29" s="3">
        <v>3.5000000000000001E-3</v>
      </c>
      <c r="D29" s="4">
        <f t="shared" si="1"/>
        <v>1.0035000000000001</v>
      </c>
      <c r="E29" s="4">
        <f t="shared" si="2"/>
        <v>3.5000000000000586E-3</v>
      </c>
      <c r="F29" s="5">
        <f t="shared" si="21"/>
        <v>1.2707756462840614E-2</v>
      </c>
      <c r="G29" s="5">
        <f t="shared" si="3"/>
        <v>2.0051784279805807E-2</v>
      </c>
      <c r="H29" s="5">
        <f t="shared" si="4"/>
        <v>2.2901870971128613E-2</v>
      </c>
      <c r="I29" s="5">
        <f>+IF(TYPE(GEOMEAN($D29:$D33)-1)&gt;1,"",GEOMEAN($D29:$D33)-1)</f>
        <v>2.4754771857424585E-2</v>
      </c>
      <c r="J29" s="5" t="str">
        <f t="shared" si="6"/>
        <v/>
      </c>
      <c r="K29" s="5" t="str">
        <f t="shared" si="7"/>
        <v/>
      </c>
      <c r="L29" s="5" t="str">
        <f t="shared" si="8"/>
        <v/>
      </c>
      <c r="M29" s="5" t="str">
        <f t="shared" si="9"/>
        <v/>
      </c>
      <c r="N29" s="5" t="str">
        <f t="shared" si="10"/>
        <v/>
      </c>
      <c r="O29" s="5" t="str">
        <f t="shared" si="11"/>
        <v/>
      </c>
      <c r="P29" s="5" t="str">
        <f t="shared" si="25"/>
        <v/>
      </c>
      <c r="Q29" s="5" t="str">
        <f t="shared" si="13"/>
        <v/>
      </c>
      <c r="R29" s="5" t="str">
        <f t="shared" si="14"/>
        <v/>
      </c>
      <c r="S29" s="5" t="str">
        <f t="shared" si="15"/>
        <v/>
      </c>
      <c r="T29" s="5" t="str">
        <f t="shared" si="16"/>
        <v/>
      </c>
      <c r="U29" s="5" t="str">
        <f t="shared" si="17"/>
        <v/>
      </c>
      <c r="V29" s="5" t="str">
        <f t="shared" si="18"/>
        <v/>
      </c>
      <c r="W29" s="5" t="str">
        <f t="shared" si="19"/>
        <v/>
      </c>
      <c r="X29" s="5" t="str">
        <f t="shared" si="20"/>
        <v/>
      </c>
      <c r="Y29" s="5" t="str">
        <f t="shared" si="22"/>
        <v/>
      </c>
      <c r="Z29" s="5" t="str">
        <f t="shared" si="23"/>
        <v/>
      </c>
    </row>
    <row r="30" spans="1:26" x14ac:dyDescent="0.3">
      <c r="A30">
        <f t="shared" si="24"/>
        <v>2022</v>
      </c>
      <c r="B30" s="6">
        <v>2.1999999999999999E-2</v>
      </c>
      <c r="D30" s="4">
        <f t="shared" si="1"/>
        <v>1.022</v>
      </c>
      <c r="E30" s="4">
        <f t="shared" si="2"/>
        <v>2.200000000000002E-2</v>
      </c>
      <c r="F30" s="5">
        <f t="shared" si="21"/>
        <v>2.8429773975841233E-2</v>
      </c>
      <c r="G30" s="5">
        <f t="shared" si="3"/>
        <v>2.9452165924183094E-2</v>
      </c>
      <c r="H30" s="5">
        <f>+IF(TYPE(GEOMEAN($D30:$D33)-1)&gt;1,"",GEOMEAN($D30:$D33)-1)</f>
        <v>3.0138437895602666E-2</v>
      </c>
      <c r="I30" s="5" t="str">
        <f t="shared" si="5"/>
        <v/>
      </c>
      <c r="J30" s="5" t="str">
        <f t="shared" si="6"/>
        <v/>
      </c>
      <c r="K30" s="5" t="str">
        <f t="shared" si="7"/>
        <v/>
      </c>
      <c r="L30" s="5" t="str">
        <f t="shared" si="8"/>
        <v/>
      </c>
      <c r="M30" s="5" t="str">
        <f t="shared" si="9"/>
        <v/>
      </c>
      <c r="N30" s="5" t="str">
        <f t="shared" si="10"/>
        <v/>
      </c>
      <c r="O30" s="5" t="str">
        <f t="shared" si="11"/>
        <v/>
      </c>
      <c r="P30" s="5" t="str">
        <f t="shared" si="25"/>
        <v/>
      </c>
      <c r="Q30" s="5" t="str">
        <f t="shared" si="13"/>
        <v/>
      </c>
      <c r="R30" s="5" t="str">
        <f t="shared" si="14"/>
        <v/>
      </c>
      <c r="S30" s="5" t="str">
        <f t="shared" si="15"/>
        <v/>
      </c>
      <c r="T30" s="5" t="str">
        <f t="shared" si="16"/>
        <v/>
      </c>
      <c r="U30" s="5" t="str">
        <f t="shared" si="17"/>
        <v/>
      </c>
      <c r="V30" s="5" t="str">
        <f t="shared" si="18"/>
        <v/>
      </c>
      <c r="W30" s="5" t="str">
        <f t="shared" si="19"/>
        <v/>
      </c>
      <c r="X30" s="5" t="str">
        <f t="shared" si="20"/>
        <v/>
      </c>
      <c r="Y30" s="5" t="str">
        <f t="shared" si="22"/>
        <v/>
      </c>
      <c r="Z30" s="5" t="str">
        <f t="shared" si="23"/>
        <v/>
      </c>
    </row>
    <row r="31" spans="1:26" x14ac:dyDescent="0.3">
      <c r="A31">
        <f t="shared" si="24"/>
        <v>2023</v>
      </c>
      <c r="B31" s="6">
        <v>3.49E-2</v>
      </c>
      <c r="D31" s="4">
        <f t="shared" si="1"/>
        <v>1.0348999999999999</v>
      </c>
      <c r="E31" s="4">
        <f t="shared" si="2"/>
        <v>3.4899999999999931E-2</v>
      </c>
      <c r="F31" s="5">
        <f t="shared" si="21"/>
        <v>3.3198601431496444E-2</v>
      </c>
      <c r="G31" s="5">
        <f>+IF(TYPE(GEOMEAN($D31:$D33)-1)&gt;1,"",GEOMEAN($D31:$D33)-1)</f>
        <v>3.286562698973694E-2</v>
      </c>
      <c r="H31" s="5" t="str">
        <f t="shared" si="4"/>
        <v/>
      </c>
      <c r="I31" s="5" t="str">
        <f t="shared" si="5"/>
        <v/>
      </c>
      <c r="J31" s="5" t="str">
        <f t="shared" si="6"/>
        <v/>
      </c>
      <c r="K31" s="5" t="str">
        <f t="shared" si="7"/>
        <v/>
      </c>
      <c r="L31" s="5" t="str">
        <f t="shared" si="8"/>
        <v/>
      </c>
      <c r="M31" s="5" t="str">
        <f t="shared" si="9"/>
        <v/>
      </c>
      <c r="N31" s="5" t="str">
        <f t="shared" si="10"/>
        <v/>
      </c>
      <c r="O31" s="5" t="str">
        <f t="shared" si="11"/>
        <v/>
      </c>
      <c r="P31" s="5" t="str">
        <f t="shared" si="25"/>
        <v/>
      </c>
      <c r="Q31" s="5" t="str">
        <f t="shared" si="13"/>
        <v/>
      </c>
      <c r="R31" s="5" t="str">
        <f t="shared" si="14"/>
        <v/>
      </c>
      <c r="S31" s="5" t="str">
        <f t="shared" si="15"/>
        <v/>
      </c>
      <c r="T31" s="5" t="str">
        <f t="shared" si="16"/>
        <v/>
      </c>
      <c r="U31" s="5" t="str">
        <f t="shared" si="17"/>
        <v/>
      </c>
      <c r="V31" s="5" t="str">
        <f t="shared" si="18"/>
        <v/>
      </c>
      <c r="W31" s="5" t="str">
        <f t="shared" si="19"/>
        <v/>
      </c>
      <c r="X31" s="5" t="str">
        <f t="shared" si="20"/>
        <v/>
      </c>
      <c r="Y31" s="5" t="str">
        <f t="shared" si="22"/>
        <v/>
      </c>
      <c r="Z31" s="5" t="str">
        <f t="shared" si="23"/>
        <v/>
      </c>
    </row>
    <row r="32" spans="1:26" x14ac:dyDescent="0.3">
      <c r="A32">
        <f t="shared" si="24"/>
        <v>2024</v>
      </c>
      <c r="B32" s="6">
        <v>3.15E-2</v>
      </c>
      <c r="D32" s="4">
        <f t="shared" si="1"/>
        <v>1.0315000000000001</v>
      </c>
      <c r="E32" s="4">
        <f t="shared" si="2"/>
        <v>3.1500000000000083E-2</v>
      </c>
      <c r="F32" s="5">
        <f>+IF(TYPE(GEOMEAN($D32:$D33)-1)&gt;1,"",GEOMEAN($D32:$D33)-1)</f>
        <v>3.1849940640595431E-2</v>
      </c>
      <c r="G32" s="5" t="str">
        <f t="shared" si="3"/>
        <v/>
      </c>
      <c r="H32" s="5" t="str">
        <f t="shared" si="4"/>
        <v/>
      </c>
      <c r="I32" s="5" t="str">
        <f t="shared" si="5"/>
        <v/>
      </c>
      <c r="J32" s="5" t="str">
        <f t="shared" si="6"/>
        <v/>
      </c>
      <c r="K32" s="5" t="str">
        <f t="shared" si="7"/>
        <v/>
      </c>
      <c r="L32" s="5" t="str">
        <f t="shared" si="8"/>
        <v/>
      </c>
      <c r="M32" s="5" t="str">
        <f t="shared" si="9"/>
        <v/>
      </c>
      <c r="N32" s="5" t="str">
        <f t="shared" si="10"/>
        <v/>
      </c>
      <c r="O32" s="5" t="str">
        <f t="shared" si="11"/>
        <v/>
      </c>
      <c r="P32" s="5" t="str">
        <f t="shared" si="25"/>
        <v/>
      </c>
      <c r="Q32" s="5" t="str">
        <f t="shared" si="13"/>
        <v/>
      </c>
      <c r="R32" s="5" t="str">
        <f t="shared" si="14"/>
        <v/>
      </c>
      <c r="S32" s="5" t="str">
        <f t="shared" si="15"/>
        <v/>
      </c>
      <c r="T32" s="5" t="str">
        <f t="shared" si="16"/>
        <v/>
      </c>
      <c r="U32" s="5" t="str">
        <f t="shared" si="17"/>
        <v/>
      </c>
      <c r="V32" s="5" t="str">
        <f t="shared" si="18"/>
        <v/>
      </c>
      <c r="W32" s="5" t="str">
        <f t="shared" si="19"/>
        <v/>
      </c>
      <c r="X32" s="5" t="str">
        <f t="shared" si="20"/>
        <v/>
      </c>
      <c r="Y32" s="5" t="str">
        <f t="shared" si="22"/>
        <v/>
      </c>
      <c r="Z32" s="5" t="str">
        <f t="shared" si="23"/>
        <v/>
      </c>
    </row>
    <row r="33" spans="1:26" x14ac:dyDescent="0.3">
      <c r="A33">
        <f t="shared" si="24"/>
        <v>2025</v>
      </c>
      <c r="B33" s="6">
        <v>3.2199999999999999E-2</v>
      </c>
      <c r="D33" s="4">
        <f t="shared" si="1"/>
        <v>1.0322</v>
      </c>
      <c r="E33" s="4">
        <f t="shared" si="2"/>
        <v>3.2200000000000006E-2</v>
      </c>
      <c r="F33" s="5" t="str">
        <f t="shared" si="21"/>
        <v/>
      </c>
      <c r="G33" s="5" t="str">
        <f t="shared" si="3"/>
        <v/>
      </c>
      <c r="H33" s="5" t="str">
        <f>+IF(TYPE(GEOMEAN($D33:$D36)-1)&gt;1,"",GEOMEAN($D33:$D36)-1)</f>
        <v/>
      </c>
      <c r="I33" s="5" t="str">
        <f t="shared" si="5"/>
        <v/>
      </c>
      <c r="J33" s="5" t="str">
        <f t="shared" si="6"/>
        <v/>
      </c>
      <c r="K33" s="5" t="str">
        <f t="shared" si="7"/>
        <v/>
      </c>
      <c r="L33" s="5" t="str">
        <f t="shared" si="8"/>
        <v/>
      </c>
      <c r="M33" s="5" t="str">
        <f t="shared" si="9"/>
        <v/>
      </c>
      <c r="N33" s="5" t="str">
        <f t="shared" si="10"/>
        <v/>
      </c>
      <c r="O33" s="5" t="str">
        <f t="shared" si="11"/>
        <v/>
      </c>
      <c r="P33" s="5" t="str">
        <f t="shared" si="25"/>
        <v/>
      </c>
      <c r="Q33" s="5" t="str">
        <f t="shared" si="13"/>
        <v/>
      </c>
      <c r="R33" s="5" t="str">
        <f t="shared" si="14"/>
        <v/>
      </c>
      <c r="S33" s="5" t="str">
        <f t="shared" si="15"/>
        <v/>
      </c>
      <c r="T33" s="5" t="str">
        <f t="shared" si="16"/>
        <v/>
      </c>
      <c r="U33" s="5" t="str">
        <f t="shared" si="17"/>
        <v/>
      </c>
      <c r="V33" s="5" t="str">
        <f t="shared" si="18"/>
        <v/>
      </c>
      <c r="W33" s="5" t="str">
        <f t="shared" si="19"/>
        <v/>
      </c>
      <c r="X33" s="5" t="str">
        <f t="shared" si="20"/>
        <v/>
      </c>
      <c r="Y33" s="5" t="str">
        <f t="shared" si="22"/>
        <v/>
      </c>
      <c r="Z33" s="5" t="str">
        <f t="shared" si="23"/>
        <v/>
      </c>
    </row>
    <row r="34" spans="1:26" x14ac:dyDescent="0.3">
      <c r="D34">
        <v>0</v>
      </c>
      <c r="G34" s="5"/>
      <c r="H34" s="5"/>
      <c r="I34" s="5"/>
      <c r="J34" s="5"/>
      <c r="K34" s="5"/>
      <c r="L34" s="5"/>
      <c r="M34" s="5"/>
      <c r="N34" s="5"/>
      <c r="O34" s="5"/>
      <c r="P34" s="5" t="str">
        <f>+IF(TYPE(GEOMEAN($D34:$D47)-1)&gt;1,"",GEOMEAN($D34:$D47)-1)</f>
        <v/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6" spans="1:26" x14ac:dyDescent="0.3">
      <c r="B36" s="7" t="s">
        <v>2</v>
      </c>
      <c r="E36" s="4">
        <f>+AVERAGE(E7:E33)</f>
        <v>3.426040740740742E-2</v>
      </c>
      <c r="F36" s="4">
        <f t="shared" ref="F36:Z36" si="26">+AVERAGE(F7:F33)</f>
        <v>3.4016484669091171E-2</v>
      </c>
      <c r="G36" s="4">
        <f t="shared" si="26"/>
        <v>3.3633145092928113E-2</v>
      </c>
      <c r="H36" s="4">
        <f t="shared" si="26"/>
        <v>3.321446956612794E-2</v>
      </c>
      <c r="I36" s="4">
        <f t="shared" si="26"/>
        <v>3.2874214909573048E-2</v>
      </c>
      <c r="J36" s="4">
        <f t="shared" si="26"/>
        <v>3.2770134191778259E-2</v>
      </c>
      <c r="K36" s="4">
        <f t="shared" si="26"/>
        <v>3.2815543654200544E-2</v>
      </c>
      <c r="L36" s="4">
        <f t="shared" si="26"/>
        <v>3.2998782531789526E-2</v>
      </c>
      <c r="M36" s="4">
        <f t="shared" si="26"/>
        <v>3.3272810105947272E-2</v>
      </c>
      <c r="N36" s="4">
        <f t="shared" si="26"/>
        <v>3.3588167352693356E-2</v>
      </c>
      <c r="O36" s="4">
        <f t="shared" si="26"/>
        <v>3.3905348910822281E-2</v>
      </c>
      <c r="P36" s="4">
        <f t="shared" si="26"/>
        <v>3.4265620882404924E-2</v>
      </c>
      <c r="Q36" s="4">
        <f t="shared" si="26"/>
        <v>3.4552262045619446E-2</v>
      </c>
      <c r="R36" s="4">
        <f t="shared" si="26"/>
        <v>3.462693977669367E-2</v>
      </c>
      <c r="S36" s="4">
        <f t="shared" si="26"/>
        <v>3.4543432417845674E-2</v>
      </c>
      <c r="T36" s="4">
        <f t="shared" si="26"/>
        <v>3.4246469083526188E-2</v>
      </c>
      <c r="U36" s="4">
        <f t="shared" si="26"/>
        <v>3.3873543345668562E-2</v>
      </c>
      <c r="V36" s="4">
        <f t="shared" si="26"/>
        <v>3.3544120372800544E-2</v>
      </c>
      <c r="W36" s="4">
        <f t="shared" si="26"/>
        <v>3.3216710338227755E-2</v>
      </c>
      <c r="X36" s="4">
        <f t="shared" si="26"/>
        <v>3.2930734119997584E-2</v>
      </c>
      <c r="Y36" s="4">
        <f t="shared" si="26"/>
        <v>3.2735201545665546E-2</v>
      </c>
      <c r="Z36" s="4">
        <f t="shared" si="26"/>
        <v>3.2678778355655837E-2</v>
      </c>
    </row>
    <row r="37" spans="1:26" x14ac:dyDescent="0.3">
      <c r="B37" s="7" t="s">
        <v>3</v>
      </c>
      <c r="E37" s="4">
        <f>1+E36</f>
        <v>1.0342604074074073</v>
      </c>
      <c r="F37">
        <f>+E37*(1+F36)</f>
        <v>1.0694423106998294</v>
      </c>
      <c r="G37">
        <f t="shared" ref="G37:Z37" si="27">+F37*(1+G36)</f>
        <v>1.1054110191041131</v>
      </c>
      <c r="H37">
        <f t="shared" si="27"/>
        <v>1.142126659756209</v>
      </c>
      <c r="I37">
        <f t="shared" si="27"/>
        <v>1.1796731770229874</v>
      </c>
      <c r="J37">
        <f t="shared" si="27"/>
        <v>1.2183312253364722</v>
      </c>
      <c r="K37">
        <f t="shared" si="27"/>
        <v>1.258311426846777</v>
      </c>
      <c r="L37">
        <f t="shared" si="27"/>
        <v>1.2998341719785595</v>
      </c>
      <c r="M37">
        <f t="shared" si="27"/>
        <v>1.3430833075520232</v>
      </c>
      <c r="N37">
        <f t="shared" si="27"/>
        <v>1.3881950144546895</v>
      </c>
      <c r="O37">
        <f t="shared" si="27"/>
        <v>1.4352622507760397</v>
      </c>
      <c r="P37">
        <f t="shared" si="27"/>
        <v>1.4844424029279588</v>
      </c>
      <c r="Q37">
        <f t="shared" si="27"/>
        <v>1.5357332458255546</v>
      </c>
      <c r="R37">
        <f t="shared" si="27"/>
        <v>1.5889109884418222</v>
      </c>
      <c r="S37">
        <f t="shared" si="27"/>
        <v>1.6437974277890348</v>
      </c>
      <c r="T37">
        <f t="shared" si="27"/>
        <v>1.7000916855793919</v>
      </c>
      <c r="U37">
        <f t="shared" si="27"/>
        <v>1.7576798149824762</v>
      </c>
      <c r="V37">
        <f t="shared" si="27"/>
        <v>1.8166396382730903</v>
      </c>
      <c r="W37">
        <f t="shared" si="27"/>
        <v>1.8769824309265504</v>
      </c>
      <c r="X37">
        <f t="shared" si="27"/>
        <v>1.9387928403072994</v>
      </c>
      <c r="Y37">
        <f t="shared" si="27"/>
        <v>2.0022596146900522</v>
      </c>
      <c r="Z37">
        <f t="shared" si="27"/>
        <v>2.0676910128489894</v>
      </c>
    </row>
    <row r="38" spans="1:26" x14ac:dyDescent="0.3">
      <c r="B38" s="8" t="s">
        <v>4</v>
      </c>
      <c r="E38" s="4">
        <f>+E37-1</f>
        <v>3.4260407407407323E-2</v>
      </c>
      <c r="F38" s="4">
        <f t="shared" ref="F38:Z38" si="28">+F37-1</f>
        <v>6.9442310699829424E-2</v>
      </c>
      <c r="G38" s="4">
        <f t="shared" si="28"/>
        <v>0.1054110191041131</v>
      </c>
      <c r="H38" s="4">
        <f t="shared" si="28"/>
        <v>0.14212665975620897</v>
      </c>
      <c r="I38" s="4">
        <f t="shared" si="28"/>
        <v>0.17967317702298735</v>
      </c>
      <c r="J38" s="4">
        <f t="shared" si="28"/>
        <v>0.2183312253364722</v>
      </c>
      <c r="K38" s="4">
        <f t="shared" si="28"/>
        <v>0.25831142684677699</v>
      </c>
      <c r="L38" s="4">
        <f t="shared" si="28"/>
        <v>0.29983417197855955</v>
      </c>
      <c r="M38" s="4">
        <f t="shared" si="28"/>
        <v>0.34308330755202321</v>
      </c>
      <c r="N38" s="4">
        <f t="shared" si="28"/>
        <v>0.38819501445468951</v>
      </c>
      <c r="O38" s="4">
        <f t="shared" si="28"/>
        <v>0.43526225077603975</v>
      </c>
      <c r="P38" s="4">
        <f t="shared" si="28"/>
        <v>0.48444240292795882</v>
      </c>
      <c r="Q38" s="4">
        <f t="shared" si="28"/>
        <v>0.53573324582555459</v>
      </c>
      <c r="R38" s="4">
        <f t="shared" si="28"/>
        <v>0.58891098844182221</v>
      </c>
      <c r="S38" s="4">
        <f t="shared" si="28"/>
        <v>0.64379742778903482</v>
      </c>
      <c r="T38" s="4">
        <f t="shared" si="28"/>
        <v>0.70009168557939194</v>
      </c>
      <c r="U38" s="4">
        <f t="shared" si="28"/>
        <v>0.75767981498247616</v>
      </c>
      <c r="V38" s="4">
        <f t="shared" si="28"/>
        <v>0.81663963827309027</v>
      </c>
      <c r="W38" s="4">
        <f t="shared" si="28"/>
        <v>0.87698243092655037</v>
      </c>
      <c r="X38" s="4">
        <f t="shared" si="28"/>
        <v>0.93879284030729937</v>
      </c>
      <c r="Y38" s="4">
        <f t="shared" si="28"/>
        <v>1.0022596146900522</v>
      </c>
      <c r="Z38" s="4">
        <f t="shared" si="28"/>
        <v>1.0676910128489894</v>
      </c>
    </row>
  </sheetData>
  <mergeCells count="1">
    <mergeCell ref="E5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CE8A-03FD-40D6-934A-E1CD503CB52A}">
  <dimension ref="A5:Z38"/>
  <sheetViews>
    <sheetView topLeftCell="A4" workbookViewId="0"/>
  </sheetViews>
  <sheetFormatPr baseColWidth="10" defaultRowHeight="14.4" x14ac:dyDescent="0.3"/>
  <sheetData>
    <row r="5" spans="1:26" x14ac:dyDescent="0.3">
      <c r="E5" s="9" t="s">
        <v>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3">
      <c r="D6" s="1" t="s">
        <v>1</v>
      </c>
      <c r="E6" s="2">
        <v>1</v>
      </c>
      <c r="F6" s="2">
        <f>+E6+1</f>
        <v>2</v>
      </c>
      <c r="G6" s="2">
        <f t="shared" ref="G6:Z6" si="0">+F6+1</f>
        <v>3</v>
      </c>
      <c r="H6" s="2">
        <f t="shared" si="0"/>
        <v>4</v>
      </c>
      <c r="I6" s="2">
        <f t="shared" si="0"/>
        <v>5</v>
      </c>
      <c r="J6" s="2">
        <f t="shared" si="0"/>
        <v>6</v>
      </c>
      <c r="K6" s="2">
        <f t="shared" si="0"/>
        <v>7</v>
      </c>
      <c r="L6" s="2">
        <f t="shared" si="0"/>
        <v>8</v>
      </c>
      <c r="M6" s="2">
        <f t="shared" si="0"/>
        <v>9</v>
      </c>
      <c r="N6" s="2">
        <f t="shared" si="0"/>
        <v>10</v>
      </c>
      <c r="O6" s="2">
        <f t="shared" si="0"/>
        <v>11</v>
      </c>
      <c r="P6" s="2">
        <f t="shared" si="0"/>
        <v>12</v>
      </c>
      <c r="Q6" s="2">
        <f t="shared" si="0"/>
        <v>13</v>
      </c>
      <c r="R6" s="2">
        <f t="shared" si="0"/>
        <v>14</v>
      </c>
      <c r="S6" s="2">
        <f t="shared" si="0"/>
        <v>15</v>
      </c>
      <c r="T6" s="2">
        <f t="shared" si="0"/>
        <v>16</v>
      </c>
      <c r="U6" s="2">
        <f t="shared" si="0"/>
        <v>17</v>
      </c>
      <c r="V6" s="2">
        <f t="shared" si="0"/>
        <v>18</v>
      </c>
      <c r="W6" s="2">
        <f t="shared" si="0"/>
        <v>19</v>
      </c>
      <c r="X6" s="2">
        <f t="shared" si="0"/>
        <v>20</v>
      </c>
      <c r="Y6" s="2">
        <f t="shared" si="0"/>
        <v>21</v>
      </c>
      <c r="Z6" s="2">
        <f t="shared" si="0"/>
        <v>22</v>
      </c>
    </row>
    <row r="7" spans="1:26" x14ac:dyDescent="0.3">
      <c r="A7">
        <v>1999</v>
      </c>
      <c r="B7" s="3">
        <v>2.917699533906104E-2</v>
      </c>
      <c r="D7" s="4">
        <f t="shared" ref="D7:D33" si="1">1+B7</f>
        <v>1.029176995339061</v>
      </c>
      <c r="E7" s="4">
        <f t="shared" ref="E7:E33" si="2">+D7-1</f>
        <v>2.917699533906104E-2</v>
      </c>
      <c r="F7" s="5">
        <f>+IF(TYPE(GEOMEAN($D7:$D8)-1)&gt;1,"",GEOMEAN($D7:$D8)-1)</f>
        <v>3.4358756404456958E-2</v>
      </c>
      <c r="G7" s="5">
        <f t="shared" ref="G7:G33" si="3">+IF(TYPE(GEOMEAN($D7:$D9)-1)&gt;1,"",GEOMEAN($D7:$D9)-1)</f>
        <v>3.1927917573704834E-2</v>
      </c>
      <c r="H7" s="5">
        <f t="shared" ref="H7:H32" si="4">+IF(TYPE(GEOMEAN($D7:$D10)-1)&gt;1,"",GEOMEAN($D7:$D10)-1)</f>
        <v>3.4267178718383473E-2</v>
      </c>
      <c r="I7" s="5">
        <f t="shared" ref="I7:I33" si="5">+IF(TYPE(GEOMEAN($D7:$D11)-1)&gt;1,"",GEOMEAN($D7:$D11)-1)</f>
        <v>3.2601036453830945E-2</v>
      </c>
      <c r="J7" s="5">
        <f t="shared" ref="J7:J33" si="6">+IF(TYPE(GEOMEAN($D7:$D12)-1)&gt;1,"",GEOMEAN($D7:$D12)-1)</f>
        <v>3.2551829267961629E-2</v>
      </c>
      <c r="K7" s="5">
        <f t="shared" ref="K7:K33" si="7">+IF(TYPE(GEOMEAN($D7:$D13)-1)&gt;1,"",GEOMEAN($D7:$D13)-1)</f>
        <v>3.3246363841631155E-2</v>
      </c>
      <c r="L7" s="5">
        <f t="shared" ref="L7:L33" si="8">+IF(TYPE(GEOMEAN($D7:$D14)-1)&gt;1,"",GEOMEAN($D7:$D14)-1)</f>
        <v>3.2419073220233852E-2</v>
      </c>
      <c r="M7" s="5">
        <f t="shared" ref="M7:M33" si="9">+IF(TYPE(GEOMEAN($D7:$D15)-1)&gt;1,"",GEOMEAN($D7:$D15)-1)</f>
        <v>3.3505481176092422E-2</v>
      </c>
      <c r="N7" s="5">
        <f t="shared" ref="N7:N33" si="10">+IF(TYPE(GEOMEAN($D7:$D16)-1)&gt;1,"",GEOMEAN($D7:$D16)-1)</f>
        <v>3.1571836379238993E-2</v>
      </c>
      <c r="O7" s="5">
        <f t="shared" ref="O7:O33" si="11">+IF(TYPE(GEOMEAN($D7:$D17)-1)&gt;1,"",GEOMEAN($D7:$D17)-1)</f>
        <v>2.9394743430176229E-2</v>
      </c>
      <c r="P7" s="5">
        <f t="shared" ref="P7:P20" si="12">+IF(TYPE(GEOMEAN($D7:$D18)-1)&gt;1,"",GEOMEAN($D7:$D18)-1)</f>
        <v>2.9434735916996635E-2</v>
      </c>
      <c r="Q7" s="5">
        <f t="shared" ref="Q7:Q33" si="13">+IF(TYPE(GEOMEAN($D7:$D19)-1)&gt;1,"",GEOMEAN($D7:$D19)-1)</f>
        <v>2.899744068688026E-2</v>
      </c>
      <c r="R7" s="5">
        <f t="shared" ref="R7:R33" si="14">+IF(TYPE(GEOMEAN($D7:$D20)-1)&gt;1,"",GEOMEAN($D7:$D20)-1)</f>
        <v>2.897345745062796E-2</v>
      </c>
      <c r="S7" s="5">
        <f t="shared" ref="S7:S33" si="15">+IF(TYPE(GEOMEAN($D7:$D21)-1)&gt;1,"",GEOMEAN($D7:$D21)-1)</f>
        <v>2.7189924862874193E-2</v>
      </c>
      <c r="T7" s="5">
        <f t="shared" ref="T7:T33" si="16">+IF(TYPE(GEOMEAN($D7:$D22)-1)&gt;1,"",GEOMEAN($D7:$D22)-1)</f>
        <v>2.4802114683100784E-2</v>
      </c>
      <c r="U7" s="5">
        <f t="shared" ref="U7:U33" si="17">+IF(TYPE(GEOMEAN($D7:$D23)-1)&gt;1,"",GEOMEAN($D7:$D23)-1)</f>
        <v>2.3332713117680148E-2</v>
      </c>
      <c r="V7" s="5">
        <f t="shared" ref="V7:V33" si="18">+IF(TYPE(GEOMEAN($D7:$D24)-1)&gt;1,"",GEOMEAN($D7:$D24)-1)</f>
        <v>2.2906896720508163E-2</v>
      </c>
      <c r="W7" s="5">
        <f t="shared" ref="W7:W33" si="19">+IF(TYPE(GEOMEAN($D7:$D25)-1)&gt;1,"",GEOMEAN($D7:$D25)-1)</f>
        <v>2.2284327192587661E-2</v>
      </c>
      <c r="X7" s="5">
        <f t="shared" ref="X7:X33" si="20">+IF(TYPE(GEOMEAN($D7:$D26)-1)&gt;1,"",GEOMEAN($D7:$D26)-1)</f>
        <v>2.176014245197222E-2</v>
      </c>
      <c r="Y7" s="5">
        <f>+IF(TYPE(GEOMEAN($D7:$D27)-1)&gt;1,"",GEOMEAN($D7:$D27)-1)</f>
        <v>2.1096376084433599E-2</v>
      </c>
      <c r="Z7" s="5">
        <f>+IF(TYPE(GEOMEAN($D7:$D28)-1)&gt;1,"",GEOMEAN($D7:$D28)-1)</f>
        <v>1.9876698791500669E-2</v>
      </c>
    </row>
    <row r="8" spans="1:26" x14ac:dyDescent="0.3">
      <c r="A8">
        <f>+A7+1</f>
        <v>2000</v>
      </c>
      <c r="B8" s="3">
        <v>3.9566606906228152E-2</v>
      </c>
      <c r="D8" s="4">
        <f t="shared" si="1"/>
        <v>1.0395666069062282</v>
      </c>
      <c r="E8" s="4">
        <f t="shared" si="2"/>
        <v>3.9566606906228152E-2</v>
      </c>
      <c r="F8" s="5">
        <f t="shared" ref="F8:F33" si="21">+IF(TYPE(GEOMEAN($D8:$D9)-1)&gt;1,"",GEOMEAN($D8:$D9)-1)</f>
        <v>3.3306134851512015E-2</v>
      </c>
      <c r="G8" s="5">
        <f t="shared" si="3"/>
        <v>3.5969494913843603E-2</v>
      </c>
      <c r="H8" s="5">
        <f t="shared" si="4"/>
        <v>3.345882520460286E-2</v>
      </c>
      <c r="I8" s="5">
        <f t="shared" si="5"/>
        <v>3.3228122887820621E-2</v>
      </c>
      <c r="J8" s="5">
        <f t="shared" si="6"/>
        <v>3.3926154544437148E-2</v>
      </c>
      <c r="K8" s="5">
        <f t="shared" si="7"/>
        <v>3.2883060174940804E-2</v>
      </c>
      <c r="L8" s="5">
        <f t="shared" si="8"/>
        <v>3.4047820351905456E-2</v>
      </c>
      <c r="M8" s="5">
        <f t="shared" si="9"/>
        <v>3.1838273583203014E-2</v>
      </c>
      <c r="N8" s="5">
        <f t="shared" si="10"/>
        <v>2.9416520772979515E-2</v>
      </c>
      <c r="O8" s="5">
        <f t="shared" si="11"/>
        <v>2.9458170079058155E-2</v>
      </c>
      <c r="P8" s="5">
        <f t="shared" si="12"/>
        <v>2.8982479213289336E-2</v>
      </c>
      <c r="Q8" s="5">
        <f t="shared" si="13"/>
        <v>2.8957802357373108E-2</v>
      </c>
      <c r="R8" s="5">
        <f t="shared" si="14"/>
        <v>2.7048138150522094E-2</v>
      </c>
      <c r="S8" s="5">
        <f t="shared" si="15"/>
        <v>2.4511118074811211E-2</v>
      </c>
      <c r="T8" s="5">
        <f t="shared" si="16"/>
        <v>2.2968549362676338E-2</v>
      </c>
      <c r="U8" s="5">
        <f t="shared" si="17"/>
        <v>2.2539259277005286E-2</v>
      </c>
      <c r="V8" s="5">
        <f t="shared" si="18"/>
        <v>2.1902757563121655E-2</v>
      </c>
      <c r="W8" s="5">
        <f t="shared" si="19"/>
        <v>2.1371265769809744E-2</v>
      </c>
      <c r="X8" s="5">
        <f t="shared" si="20"/>
        <v>2.0694014716651887E-2</v>
      </c>
      <c r="Y8" s="5">
        <f t="shared" ref="Y8:Y33" si="22">+IF(TYPE(GEOMEAN($D8:$D28)-1)&gt;1,"",GEOMEAN($D8:$D28)-1)</f>
        <v>1.9435929888063974E-2</v>
      </c>
      <c r="Z8" s="5">
        <f t="shared" ref="Z8:Z33" si="23">+IF(TYPE(GEOMEAN($D8:$D29)-1)&gt;1,"",GEOMEAN($D8:$D29)-1)</f>
        <v>2.1489975584337184E-2</v>
      </c>
    </row>
    <row r="9" spans="1:26" x14ac:dyDescent="0.3">
      <c r="A9">
        <f t="shared" ref="A9:A33" si="24">+A8+1</f>
        <v>2001</v>
      </c>
      <c r="B9" s="3">
        <v>2.7083364575678948E-2</v>
      </c>
      <c r="D9" s="4">
        <f t="shared" si="1"/>
        <v>1.0270833645756789</v>
      </c>
      <c r="E9" s="4">
        <f t="shared" si="2"/>
        <v>2.7083364575678948E-2</v>
      </c>
      <c r="F9" s="5">
        <f t="shared" si="21"/>
        <v>3.4175609140205676E-2</v>
      </c>
      <c r="G9" s="5">
        <f t="shared" si="3"/>
        <v>3.1430882884406319E-2</v>
      </c>
      <c r="H9" s="5">
        <f t="shared" si="4"/>
        <v>3.1649549743771432E-2</v>
      </c>
      <c r="I9" s="5">
        <f t="shared" si="5"/>
        <v>3.2801741856324229E-2</v>
      </c>
      <c r="J9" s="5">
        <f t="shared" si="6"/>
        <v>3.1773320805820404E-2</v>
      </c>
      <c r="K9" s="5">
        <f t="shared" si="7"/>
        <v>3.3261817565703566E-2</v>
      </c>
      <c r="L9" s="5">
        <f t="shared" si="8"/>
        <v>3.0876280433833614E-2</v>
      </c>
      <c r="M9" s="5">
        <f t="shared" si="9"/>
        <v>2.8294868678388818E-2</v>
      </c>
      <c r="N9" s="5">
        <f t="shared" si="10"/>
        <v>2.8452748268583461E-2</v>
      </c>
      <c r="O9" s="5">
        <f t="shared" si="11"/>
        <v>2.8025645827145507E-2</v>
      </c>
      <c r="P9" s="5">
        <f t="shared" si="12"/>
        <v>2.807863750223194E-2</v>
      </c>
      <c r="Q9" s="5">
        <f t="shared" si="13"/>
        <v>2.6091446264763674E-2</v>
      </c>
      <c r="R9" s="5">
        <f t="shared" si="14"/>
        <v>2.3444107070410114E-2</v>
      </c>
      <c r="S9" s="5">
        <f t="shared" si="15"/>
        <v>2.1871481939167658E-2</v>
      </c>
      <c r="T9" s="5">
        <f t="shared" si="16"/>
        <v>2.1484358034404183E-2</v>
      </c>
      <c r="U9" s="5">
        <f t="shared" si="17"/>
        <v>2.0873104643756024E-2</v>
      </c>
      <c r="V9" s="5">
        <f t="shared" si="18"/>
        <v>2.0369803225077643E-2</v>
      </c>
      <c r="W9" s="5">
        <f t="shared" si="19"/>
        <v>1.9710266103964313E-2</v>
      </c>
      <c r="X9" s="5">
        <f t="shared" si="20"/>
        <v>1.8439692167333988E-2</v>
      </c>
      <c r="Y9" s="5">
        <f t="shared" si="22"/>
        <v>2.0637067642125917E-2</v>
      </c>
      <c r="Z9" s="5">
        <f t="shared" si="23"/>
        <v>2.2264027089196059E-2</v>
      </c>
    </row>
    <row r="10" spans="1:26" x14ac:dyDescent="0.3">
      <c r="A10">
        <f t="shared" si="24"/>
        <v>2002</v>
      </c>
      <c r="B10" s="3">
        <v>4.1316827268804923E-2</v>
      </c>
      <c r="D10" s="4">
        <f t="shared" si="1"/>
        <v>1.0413168272688049</v>
      </c>
      <c r="E10" s="4">
        <f t="shared" si="2"/>
        <v>4.1316827268804923E-2</v>
      </c>
      <c r="F10" s="5">
        <f t="shared" si="21"/>
        <v>3.361153812055595E-2</v>
      </c>
      <c r="G10" s="5">
        <f t="shared" si="3"/>
        <v>3.3176118184111036E-2</v>
      </c>
      <c r="H10" s="5">
        <f t="shared" si="4"/>
        <v>3.4236303889484843E-2</v>
      </c>
      <c r="I10" s="5">
        <f t="shared" si="5"/>
        <v>3.2713878810668673E-2</v>
      </c>
      <c r="J10" s="5">
        <f t="shared" si="6"/>
        <v>3.4295167136798144E-2</v>
      </c>
      <c r="K10" s="5">
        <f t="shared" si="7"/>
        <v>3.1419267769024595E-2</v>
      </c>
      <c r="L10" s="5">
        <f t="shared" si="8"/>
        <v>2.8446407135983121E-2</v>
      </c>
      <c r="M10" s="5">
        <f t="shared" si="9"/>
        <v>2.8605014669218942E-2</v>
      </c>
      <c r="N10" s="5">
        <f t="shared" si="10"/>
        <v>2.8119921485661559E-2</v>
      </c>
      <c r="O10" s="5">
        <f t="shared" si="11"/>
        <v>2.8169164669007873E-2</v>
      </c>
      <c r="P10" s="5">
        <f t="shared" si="12"/>
        <v>2.600882965941187E-2</v>
      </c>
      <c r="Q10" s="5">
        <f t="shared" si="13"/>
        <v>2.3164698879313717E-2</v>
      </c>
      <c r="R10" s="5">
        <f t="shared" si="14"/>
        <v>2.1500218220629863E-2</v>
      </c>
      <c r="S10" s="5">
        <f t="shared" si="15"/>
        <v>2.111217801188392E-2</v>
      </c>
      <c r="T10" s="5">
        <f t="shared" si="16"/>
        <v>2.048621254937788E-2</v>
      </c>
      <c r="U10" s="5">
        <f t="shared" si="17"/>
        <v>1.997625727386132E-2</v>
      </c>
      <c r="V10" s="5">
        <f t="shared" si="18"/>
        <v>1.9302204974791293E-2</v>
      </c>
      <c r="W10" s="5">
        <f t="shared" si="19"/>
        <v>1.7986782457943384E-2</v>
      </c>
      <c r="X10" s="5">
        <f t="shared" si="20"/>
        <v>2.0315816960946309E-2</v>
      </c>
      <c r="Y10" s="5">
        <f t="shared" si="22"/>
        <v>2.203509972720008E-2</v>
      </c>
      <c r="Z10" s="5">
        <f t="shared" si="23"/>
        <v>2.2442170416477447E-2</v>
      </c>
    </row>
    <row r="11" spans="1:26" x14ac:dyDescent="0.3">
      <c r="A11">
        <f t="shared" si="24"/>
        <v>2003</v>
      </c>
      <c r="B11" s="3">
        <v>2.5963264742439041E-2</v>
      </c>
      <c r="D11" s="4">
        <f t="shared" si="1"/>
        <v>1.025963264742439</v>
      </c>
      <c r="E11" s="4">
        <f t="shared" si="2"/>
        <v>2.5963264742439041E-2</v>
      </c>
      <c r="F11" s="5">
        <f t="shared" si="21"/>
        <v>2.9129660456183037E-2</v>
      </c>
      <c r="G11" s="5">
        <f t="shared" si="3"/>
        <v>3.1886844448012264E-2</v>
      </c>
      <c r="H11" s="5">
        <f t="shared" si="4"/>
        <v>3.0574270054404495E-2</v>
      </c>
      <c r="I11" s="5">
        <f t="shared" si="5"/>
        <v>3.2896527053732028E-2</v>
      </c>
      <c r="J11" s="5">
        <f t="shared" si="6"/>
        <v>2.9778844935067328E-2</v>
      </c>
      <c r="K11" s="5">
        <f t="shared" si="7"/>
        <v>2.6620807543845881E-2</v>
      </c>
      <c r="L11" s="5">
        <f t="shared" si="8"/>
        <v>2.702698816833693E-2</v>
      </c>
      <c r="M11" s="5">
        <f t="shared" si="9"/>
        <v>2.6663961581978368E-2</v>
      </c>
      <c r="N11" s="5">
        <f t="shared" si="10"/>
        <v>2.6863563329855289E-2</v>
      </c>
      <c r="O11" s="5">
        <f t="shared" si="11"/>
        <v>2.4628402432968599E-2</v>
      </c>
      <c r="P11" s="5">
        <f t="shared" si="12"/>
        <v>2.1666381353398823E-2</v>
      </c>
      <c r="Q11" s="5">
        <f t="shared" si="13"/>
        <v>1.9991576208201245E-2</v>
      </c>
      <c r="R11" s="5">
        <f t="shared" si="14"/>
        <v>1.96840808872496E-2</v>
      </c>
      <c r="S11" s="5">
        <f t="shared" si="15"/>
        <v>1.9112413934906591E-2</v>
      </c>
      <c r="T11" s="5">
        <f t="shared" si="16"/>
        <v>1.8657086970403691E-2</v>
      </c>
      <c r="U11" s="5">
        <f t="shared" si="17"/>
        <v>1.8021818188790784E-2</v>
      </c>
      <c r="V11" s="5">
        <f t="shared" si="18"/>
        <v>1.6706104078254791E-2</v>
      </c>
      <c r="W11" s="5">
        <f t="shared" si="19"/>
        <v>1.9222308585455705E-2</v>
      </c>
      <c r="X11" s="5">
        <f t="shared" si="20"/>
        <v>2.1080440936250389E-2</v>
      </c>
      <c r="Y11" s="5">
        <f t="shared" si="22"/>
        <v>2.155196031811446E-2</v>
      </c>
      <c r="Z11" s="5">
        <f t="shared" si="23"/>
        <v>2.1863038879501806E-2</v>
      </c>
    </row>
    <row r="12" spans="1:26" x14ac:dyDescent="0.3">
      <c r="A12">
        <f t="shared" si="24"/>
        <v>2004</v>
      </c>
      <c r="B12" s="3">
        <v>3.2305828509893608E-2</v>
      </c>
      <c r="D12" s="4">
        <f t="shared" si="1"/>
        <v>1.0323058285098936</v>
      </c>
      <c r="E12" s="4">
        <f t="shared" si="2"/>
        <v>3.2305828509893608E-2</v>
      </c>
      <c r="F12" s="5">
        <f t="shared" si="21"/>
        <v>3.4861447297644066E-2</v>
      </c>
      <c r="G12" s="5">
        <f t="shared" si="3"/>
        <v>3.2115872417576519E-2</v>
      </c>
      <c r="H12" s="5">
        <f t="shared" si="4"/>
        <v>3.4637151182909331E-2</v>
      </c>
      <c r="I12" s="5">
        <f t="shared" si="5"/>
        <v>3.054366211496129E-2</v>
      </c>
      <c r="J12" s="5">
        <f t="shared" si="6"/>
        <v>2.6730438974947868E-2</v>
      </c>
      <c r="K12" s="5">
        <f t="shared" si="7"/>
        <v>2.7179038661570232E-2</v>
      </c>
      <c r="L12" s="5">
        <f t="shared" si="8"/>
        <v>2.6751582328359058E-2</v>
      </c>
      <c r="M12" s="5">
        <f t="shared" si="9"/>
        <v>2.6963645260591029E-2</v>
      </c>
      <c r="N12" s="5">
        <f t="shared" si="10"/>
        <v>2.4495011761420216E-2</v>
      </c>
      <c r="O12" s="5">
        <f t="shared" si="11"/>
        <v>2.1276649087836663E-2</v>
      </c>
      <c r="P12" s="5">
        <f t="shared" si="12"/>
        <v>1.9495507260580025E-2</v>
      </c>
      <c r="Q12" s="5">
        <f t="shared" si="13"/>
        <v>1.9202661541551258E-2</v>
      </c>
      <c r="R12" s="5">
        <f t="shared" si="14"/>
        <v>1.8624821579505291E-2</v>
      </c>
      <c r="S12" s="5">
        <f t="shared" si="15"/>
        <v>1.8171862498530977E-2</v>
      </c>
      <c r="T12" s="5">
        <f t="shared" si="16"/>
        <v>1.7527523750678009E-2</v>
      </c>
      <c r="U12" s="5">
        <f t="shared" si="17"/>
        <v>1.6164173779563473E-2</v>
      </c>
      <c r="V12" s="5">
        <f t="shared" si="18"/>
        <v>1.8849112358999776E-2</v>
      </c>
      <c r="W12" s="5">
        <f t="shared" si="19"/>
        <v>2.0824094908360902E-2</v>
      </c>
      <c r="X12" s="5">
        <f t="shared" si="20"/>
        <v>2.1331893664109813E-2</v>
      </c>
      <c r="Y12" s="5">
        <f t="shared" si="22"/>
        <v>2.1668199279717415E-2</v>
      </c>
      <c r="Z12" s="5">
        <f t="shared" si="23"/>
        <v>2.206088373921955E-2</v>
      </c>
    </row>
    <row r="13" spans="1:26" x14ac:dyDescent="0.3">
      <c r="A13">
        <f t="shared" si="24"/>
        <v>2005</v>
      </c>
      <c r="B13" s="3">
        <v>3.742339288042773E-2</v>
      </c>
      <c r="D13" s="4">
        <f t="shared" si="1"/>
        <v>1.0374233928804277</v>
      </c>
      <c r="E13" s="4">
        <f t="shared" si="2"/>
        <v>3.742339288042773E-2</v>
      </c>
      <c r="F13" s="5">
        <f t="shared" si="21"/>
        <v>3.2020907479606064E-2</v>
      </c>
      <c r="G13" s="5">
        <f t="shared" si="3"/>
        <v>3.5415428148626305E-2</v>
      </c>
      <c r="H13" s="5">
        <f t="shared" si="4"/>
        <v>3.010359072520119E-2</v>
      </c>
      <c r="I13" s="5">
        <f t="shared" si="5"/>
        <v>2.5618979745288595E-2</v>
      </c>
      <c r="J13" s="5">
        <f t="shared" si="6"/>
        <v>2.632705252559342E-2</v>
      </c>
      <c r="K13" s="5">
        <f t="shared" si="7"/>
        <v>2.5960561875596921E-2</v>
      </c>
      <c r="L13" s="5">
        <f t="shared" si="8"/>
        <v>2.6297819140966183E-2</v>
      </c>
      <c r="M13" s="5">
        <f t="shared" si="9"/>
        <v>2.363079956511549E-2</v>
      </c>
      <c r="N13" s="5">
        <f t="shared" si="10"/>
        <v>2.0180233005078874E-2</v>
      </c>
      <c r="O13" s="5">
        <f t="shared" si="11"/>
        <v>1.8338845167093831E-2</v>
      </c>
      <c r="P13" s="5">
        <f t="shared" si="12"/>
        <v>1.8118267751426886E-2</v>
      </c>
      <c r="Q13" s="5">
        <f t="shared" si="13"/>
        <v>1.7579977237120348E-2</v>
      </c>
      <c r="R13" s="5">
        <f t="shared" si="14"/>
        <v>1.7169730085308865E-2</v>
      </c>
      <c r="S13" s="5">
        <f t="shared" si="15"/>
        <v>1.6549859429654701E-2</v>
      </c>
      <c r="T13" s="5">
        <f t="shared" si="16"/>
        <v>1.5163742059616903E-2</v>
      </c>
      <c r="U13" s="5">
        <f t="shared" si="17"/>
        <v>1.8063026093301238E-2</v>
      </c>
      <c r="V13" s="5">
        <f t="shared" si="18"/>
        <v>2.0189978426952804E-2</v>
      </c>
      <c r="W13" s="5">
        <f t="shared" si="19"/>
        <v>2.0757560587989721E-2</v>
      </c>
      <c r="X13" s="5">
        <f t="shared" si="20"/>
        <v>2.1139204724138994E-2</v>
      </c>
      <c r="Y13" s="5">
        <f t="shared" si="22"/>
        <v>2.1575573347164534E-2</v>
      </c>
      <c r="Z13" s="5" t="str">
        <f t="shared" si="23"/>
        <v/>
      </c>
    </row>
    <row r="14" spans="1:26" x14ac:dyDescent="0.3">
      <c r="A14">
        <f t="shared" si="24"/>
        <v>2006</v>
      </c>
      <c r="B14" s="3">
        <v>2.6646556058320892E-2</v>
      </c>
      <c r="D14" s="4">
        <f t="shared" si="1"/>
        <v>1.0266465560583209</v>
      </c>
      <c r="E14" s="4">
        <f t="shared" si="2"/>
        <v>2.6646556058320892E-2</v>
      </c>
      <c r="F14" s="5">
        <f t="shared" si="21"/>
        <v>3.4412903682167428E-2</v>
      </c>
      <c r="G14" s="5">
        <f t="shared" si="3"/>
        <v>2.7675151768279171E-2</v>
      </c>
      <c r="H14" s="5">
        <f t="shared" si="4"/>
        <v>2.2688923578856768E-2</v>
      </c>
      <c r="I14" s="5">
        <f t="shared" si="5"/>
        <v>2.4122067726280116E-2</v>
      </c>
      <c r="J14" s="5">
        <f t="shared" si="6"/>
        <v>2.4062441862158224E-2</v>
      </c>
      <c r="K14" s="5">
        <f t="shared" si="7"/>
        <v>2.4718221316850197E-2</v>
      </c>
      <c r="L14" s="5">
        <f t="shared" si="8"/>
        <v>2.1919669138793285E-2</v>
      </c>
      <c r="M14" s="5">
        <f t="shared" si="9"/>
        <v>1.8282105587733355E-2</v>
      </c>
      <c r="N14" s="5">
        <f t="shared" si="10"/>
        <v>1.6449807374638414E-2</v>
      </c>
      <c r="O14" s="5">
        <f t="shared" si="11"/>
        <v>1.6381171468811129E-2</v>
      </c>
      <c r="P14" s="5">
        <f t="shared" si="12"/>
        <v>1.5943593102217601E-2</v>
      </c>
      <c r="Q14" s="5">
        <f t="shared" si="13"/>
        <v>1.5628233402419145E-2</v>
      </c>
      <c r="R14" s="5">
        <f t="shared" si="14"/>
        <v>1.5075064756881362E-2</v>
      </c>
      <c r="S14" s="5">
        <f t="shared" si="15"/>
        <v>1.3696861862736887E-2</v>
      </c>
      <c r="T14" s="5">
        <f t="shared" si="16"/>
        <v>1.6865070146243832E-2</v>
      </c>
      <c r="U14" s="5">
        <f t="shared" si="17"/>
        <v>1.9185210209285986E-2</v>
      </c>
      <c r="V14" s="5">
        <f t="shared" si="18"/>
        <v>1.9839571155312541E-2</v>
      </c>
      <c r="W14" s="5">
        <f t="shared" si="19"/>
        <v>2.0289258140319566E-2</v>
      </c>
      <c r="X14" s="5">
        <f t="shared" si="20"/>
        <v>2.0789568295687788E-2</v>
      </c>
      <c r="Y14" s="5" t="str">
        <f t="shared" si="22"/>
        <v/>
      </c>
      <c r="Z14" s="5" t="str">
        <f t="shared" si="23"/>
        <v/>
      </c>
    </row>
    <row r="15" spans="1:26" x14ac:dyDescent="0.3">
      <c r="A15">
        <f t="shared" si="24"/>
        <v>2007</v>
      </c>
      <c r="B15" s="3">
        <v>4.2238001958863736E-2</v>
      </c>
      <c r="D15" s="4">
        <f t="shared" si="1"/>
        <v>1.0422380019588637</v>
      </c>
      <c r="E15" s="4">
        <f t="shared" si="2"/>
        <v>4.2238001958863736E-2</v>
      </c>
      <c r="F15" s="5">
        <f t="shared" si="21"/>
        <v>2.8189836014462566E-2</v>
      </c>
      <c r="G15" s="5">
        <f t="shared" si="3"/>
        <v>2.1373105956060456E-2</v>
      </c>
      <c r="H15" s="5">
        <f t="shared" si="4"/>
        <v>2.3491916182268424E-2</v>
      </c>
      <c r="I15" s="5">
        <f t="shared" si="5"/>
        <v>2.354640006680131E-2</v>
      </c>
      <c r="J15" s="5">
        <f t="shared" si="6"/>
        <v>2.4397184512355397E-2</v>
      </c>
      <c r="K15" s="5">
        <f t="shared" si="7"/>
        <v>2.1246178536219018E-2</v>
      </c>
      <c r="L15" s="5">
        <f t="shared" si="8"/>
        <v>1.7241352373702723E-2</v>
      </c>
      <c r="M15" s="5">
        <f t="shared" si="9"/>
        <v>1.5323105329215103E-2</v>
      </c>
      <c r="N15" s="5">
        <f t="shared" si="10"/>
        <v>1.5360295392129686E-2</v>
      </c>
      <c r="O15" s="5">
        <f t="shared" si="11"/>
        <v>1.497614693846705E-2</v>
      </c>
      <c r="P15" s="5">
        <f t="shared" si="12"/>
        <v>1.4715395225281203E-2</v>
      </c>
      <c r="Q15" s="5">
        <f t="shared" si="13"/>
        <v>1.4190371058553586E-2</v>
      </c>
      <c r="R15" s="5">
        <f t="shared" si="14"/>
        <v>1.2778158592548161E-2</v>
      </c>
      <c r="S15" s="5">
        <f t="shared" si="15"/>
        <v>1.6216294523070163E-2</v>
      </c>
      <c r="T15" s="5">
        <f t="shared" si="16"/>
        <v>1.8720680694154668E-2</v>
      </c>
      <c r="U15" s="5">
        <f t="shared" si="17"/>
        <v>1.9440568719588436E-2</v>
      </c>
      <c r="V15" s="5">
        <f t="shared" si="18"/>
        <v>1.9937231437259006E-2</v>
      </c>
      <c r="W15" s="5">
        <f t="shared" si="19"/>
        <v>2.048223304791863E-2</v>
      </c>
      <c r="X15" s="5" t="str">
        <f t="shared" si="20"/>
        <v/>
      </c>
      <c r="Y15" s="5" t="str">
        <f t="shared" si="22"/>
        <v/>
      </c>
      <c r="Z15" s="5" t="str">
        <f t="shared" si="23"/>
        <v/>
      </c>
    </row>
    <row r="16" spans="1:26" x14ac:dyDescent="0.3">
      <c r="A16">
        <f t="shared" si="24"/>
        <v>2008</v>
      </c>
      <c r="B16" s="3">
        <v>1.4331023141078258E-2</v>
      </c>
      <c r="D16" s="4">
        <f t="shared" si="1"/>
        <v>1.0143310231410783</v>
      </c>
      <c r="E16" s="4">
        <f t="shared" si="2"/>
        <v>1.4331023141078258E-2</v>
      </c>
      <c r="F16" s="5">
        <f t="shared" si="21"/>
        <v>1.1097822434203319E-2</v>
      </c>
      <c r="G16" s="5">
        <f t="shared" si="3"/>
        <v>1.7318450266197827E-2</v>
      </c>
      <c r="H16" s="5">
        <f t="shared" si="4"/>
        <v>1.8926113960330948E-2</v>
      </c>
      <c r="I16" s="5">
        <f t="shared" si="5"/>
        <v>2.0865837067176596E-2</v>
      </c>
      <c r="J16" s="5">
        <f t="shared" si="6"/>
        <v>1.7788878829639421E-2</v>
      </c>
      <c r="K16" s="5">
        <f t="shared" si="7"/>
        <v>1.3719681198365752E-2</v>
      </c>
      <c r="L16" s="5">
        <f t="shared" si="8"/>
        <v>1.2007986854077446E-2</v>
      </c>
      <c r="M16" s="5">
        <f t="shared" si="9"/>
        <v>1.2417000602342743E-2</v>
      </c>
      <c r="N16" s="5">
        <f t="shared" si="10"/>
        <v>1.2289492992247908E-2</v>
      </c>
      <c r="O16" s="5">
        <f t="shared" si="11"/>
        <v>1.2249671599555922E-2</v>
      </c>
      <c r="P16" s="5">
        <f t="shared" si="12"/>
        <v>1.188742263611986E-2</v>
      </c>
      <c r="Q16" s="5">
        <f t="shared" si="13"/>
        <v>1.0546811876768203E-2</v>
      </c>
      <c r="R16" s="5">
        <f t="shared" si="14"/>
        <v>1.4382656102446045E-2</v>
      </c>
      <c r="S16" s="5">
        <f t="shared" si="15"/>
        <v>1.7171860773637304E-2</v>
      </c>
      <c r="T16" s="5">
        <f t="shared" si="16"/>
        <v>1.8032400620682454E-2</v>
      </c>
      <c r="U16" s="5">
        <f t="shared" si="17"/>
        <v>1.8640382162489866E-2</v>
      </c>
      <c r="V16" s="5">
        <f t="shared" si="18"/>
        <v>1.9286983216186604E-2</v>
      </c>
      <c r="W16" s="5" t="str">
        <f t="shared" si="19"/>
        <v/>
      </c>
      <c r="X16" s="5" t="str">
        <f t="shared" si="20"/>
        <v/>
      </c>
      <c r="Y16" s="5" t="str">
        <f t="shared" si="22"/>
        <v/>
      </c>
      <c r="Z16" s="5" t="str">
        <f t="shared" si="23"/>
        <v/>
      </c>
    </row>
    <row r="17" spans="1:26" x14ac:dyDescent="0.3">
      <c r="A17">
        <f t="shared" si="24"/>
        <v>2009</v>
      </c>
      <c r="B17" s="3">
        <v>7.8749276201506291E-3</v>
      </c>
      <c r="D17" s="4">
        <f t="shared" si="1"/>
        <v>1.0078749276201506</v>
      </c>
      <c r="E17" s="4">
        <f t="shared" si="2"/>
        <v>7.8749276201506291E-3</v>
      </c>
      <c r="F17" s="5">
        <f t="shared" si="21"/>
        <v>1.8815461696235936E-2</v>
      </c>
      <c r="G17" s="5">
        <f t="shared" si="3"/>
        <v>2.0462432149131571E-2</v>
      </c>
      <c r="H17" s="5">
        <f t="shared" si="4"/>
        <v>2.2506108178868445E-2</v>
      </c>
      <c r="I17" s="5">
        <f t="shared" si="5"/>
        <v>1.8481863223517303E-2</v>
      </c>
      <c r="J17" s="5">
        <f t="shared" si="6"/>
        <v>1.3617826702941427E-2</v>
      </c>
      <c r="K17" s="5">
        <f t="shared" si="7"/>
        <v>1.1676559118213747E-2</v>
      </c>
      <c r="L17" s="5">
        <f t="shared" si="8"/>
        <v>1.2178001874135536E-2</v>
      </c>
      <c r="M17" s="5">
        <f t="shared" si="9"/>
        <v>1.2062910099937429E-2</v>
      </c>
      <c r="N17" s="5">
        <f t="shared" si="10"/>
        <v>1.2041771485189035E-2</v>
      </c>
      <c r="O17" s="5">
        <f t="shared" si="11"/>
        <v>1.1665569257408581E-2</v>
      </c>
      <c r="P17" s="5">
        <f t="shared" si="12"/>
        <v>1.0232098933526945E-2</v>
      </c>
      <c r="Q17" s="5">
        <f t="shared" si="13"/>
        <v>1.4386627977567734E-2</v>
      </c>
      <c r="R17" s="5">
        <f t="shared" si="14"/>
        <v>1.737508193545656E-2</v>
      </c>
      <c r="S17" s="5">
        <f t="shared" si="15"/>
        <v>1.8279638810868137E-2</v>
      </c>
      <c r="T17" s="5">
        <f t="shared" si="16"/>
        <v>1.8910324185372751E-2</v>
      </c>
      <c r="U17" s="5">
        <f>+IF(TYPE(GEOMEAN($D17:$D33)-1)&gt;1,"",GEOMEAN($D17:$D33)-1)</f>
        <v>1.9579263211707554E-2</v>
      </c>
      <c r="V17" s="5" t="str">
        <f t="shared" si="18"/>
        <v/>
      </c>
      <c r="W17" s="5" t="str">
        <f t="shared" si="19"/>
        <v/>
      </c>
      <c r="X17" s="5" t="str">
        <f t="shared" si="20"/>
        <v/>
      </c>
      <c r="Y17" s="5" t="str">
        <f t="shared" si="22"/>
        <v/>
      </c>
      <c r="Z17" s="5" t="str">
        <f t="shared" si="23"/>
        <v/>
      </c>
    </row>
    <row r="18" spans="1:26" x14ac:dyDescent="0.3">
      <c r="A18">
        <f t="shared" si="24"/>
        <v>2010</v>
      </c>
      <c r="B18" s="3">
        <v>2.9874755831322375E-2</v>
      </c>
      <c r="D18" s="4">
        <f t="shared" si="1"/>
        <v>1.0298747558313224</v>
      </c>
      <c r="E18" s="4">
        <f t="shared" si="2"/>
        <v>2.9874755831322375E-2</v>
      </c>
      <c r="F18" s="5">
        <f t="shared" si="21"/>
        <v>2.6815015001045772E-2</v>
      </c>
      <c r="G18" s="5">
        <f t="shared" si="3"/>
        <v>2.7430216751747283E-2</v>
      </c>
      <c r="H18" s="5">
        <f t="shared" si="4"/>
        <v>2.1150993322766931E-2</v>
      </c>
      <c r="I18" s="5">
        <f t="shared" si="5"/>
        <v>1.4770327351752544E-2</v>
      </c>
      <c r="J18" s="5">
        <f t="shared" si="6"/>
        <v>1.2311557025795006E-2</v>
      </c>
      <c r="K18" s="5">
        <f t="shared" si="7"/>
        <v>1.2794224678198018E-2</v>
      </c>
      <c r="L18" s="5">
        <f t="shared" si="8"/>
        <v>1.2587630018993323E-2</v>
      </c>
      <c r="M18" s="5">
        <f t="shared" si="9"/>
        <v>1.2505816227326383E-2</v>
      </c>
      <c r="N18" s="5">
        <f t="shared" si="10"/>
        <v>1.204541665613279E-2</v>
      </c>
      <c r="O18" s="5">
        <f t="shared" si="11"/>
        <v>1.044666040535569E-2</v>
      </c>
      <c r="P18" s="5">
        <f t="shared" si="12"/>
        <v>1.4931164971924371E-2</v>
      </c>
      <c r="Q18" s="5">
        <f t="shared" si="13"/>
        <v>1.8109561406133068E-2</v>
      </c>
      <c r="R18" s="5">
        <f t="shared" si="14"/>
        <v>1.9026929557837358E-2</v>
      </c>
      <c r="S18" s="5">
        <f t="shared" si="15"/>
        <v>1.9650298855411696E-2</v>
      </c>
      <c r="T18" s="5">
        <f>+IF(TYPE(GEOMEAN($D18:$D33)-1)&gt;1,"",GEOMEAN($D18:$D33)-1)</f>
        <v>2.0315280905230937E-2</v>
      </c>
      <c r="U18" s="5" t="str">
        <f t="shared" si="17"/>
        <v/>
      </c>
      <c r="V18" s="5" t="str">
        <f t="shared" si="18"/>
        <v/>
      </c>
      <c r="W18" s="5" t="str">
        <f t="shared" si="19"/>
        <v/>
      </c>
      <c r="X18" s="5" t="str">
        <f t="shared" si="20"/>
        <v/>
      </c>
      <c r="Y18" s="5" t="str">
        <f t="shared" si="22"/>
        <v/>
      </c>
      <c r="Z18" s="5" t="str">
        <f t="shared" si="23"/>
        <v/>
      </c>
    </row>
    <row r="19" spans="1:26" x14ac:dyDescent="0.3">
      <c r="A19">
        <f t="shared" si="24"/>
        <v>2011</v>
      </c>
      <c r="B19" s="3">
        <v>2.3764364610063593E-2</v>
      </c>
      <c r="D19" s="4">
        <f t="shared" si="1"/>
        <v>1.0237643646100636</v>
      </c>
      <c r="E19" s="4">
        <f t="shared" si="2"/>
        <v>2.3764364610063593E-2</v>
      </c>
      <c r="F19" s="5">
        <f t="shared" si="21"/>
        <v>2.6210123983004152E-2</v>
      </c>
      <c r="G19" s="5">
        <f t="shared" si="3"/>
        <v>1.8259524928733839E-2</v>
      </c>
      <c r="H19" s="5">
        <f t="shared" si="4"/>
        <v>1.1028961360942224E-2</v>
      </c>
      <c r="I19" s="5">
        <f t="shared" si="5"/>
        <v>8.8350241351089487E-3</v>
      </c>
      <c r="J19" s="5">
        <f t="shared" si="6"/>
        <v>9.9751386055542124E-3</v>
      </c>
      <c r="K19" s="5">
        <f t="shared" si="7"/>
        <v>1.0141842935076806E-2</v>
      </c>
      <c r="L19" s="5">
        <f t="shared" si="8"/>
        <v>1.0355397462007865E-2</v>
      </c>
      <c r="M19" s="5">
        <f t="shared" si="9"/>
        <v>1.0083530849388289E-2</v>
      </c>
      <c r="N19" s="5">
        <f t="shared" si="10"/>
        <v>8.5241235711306373E-3</v>
      </c>
      <c r="O19" s="5">
        <f t="shared" si="11"/>
        <v>1.3583456372158853E-2</v>
      </c>
      <c r="P19" s="5">
        <f t="shared" si="12"/>
        <v>1.7135216701032796E-2</v>
      </c>
      <c r="Q19" s="5">
        <f t="shared" si="13"/>
        <v>1.8197229536702553E-2</v>
      </c>
      <c r="R19" s="5">
        <f t="shared" si="14"/>
        <v>1.8923876690552621E-2</v>
      </c>
      <c r="S19" s="5">
        <f>+IF(TYPE(GEOMEAN($D19:$D33)-1)&gt;1,"",GEOMEAN($D19:$D33)-1)</f>
        <v>1.9681146668925287E-2</v>
      </c>
      <c r="T19" s="5" t="str">
        <f t="shared" si="16"/>
        <v/>
      </c>
      <c r="U19" s="5" t="str">
        <f t="shared" si="17"/>
        <v/>
      </c>
      <c r="V19" s="5" t="str">
        <f t="shared" si="18"/>
        <v/>
      </c>
      <c r="W19" s="5" t="str">
        <f t="shared" si="19"/>
        <v/>
      </c>
      <c r="X19" s="5" t="str">
        <f t="shared" si="20"/>
        <v/>
      </c>
      <c r="Y19" s="5" t="str">
        <f t="shared" si="22"/>
        <v/>
      </c>
      <c r="Z19" s="5" t="str">
        <f t="shared" si="23"/>
        <v/>
      </c>
    </row>
    <row r="20" spans="1:26" x14ac:dyDescent="0.3">
      <c r="A20">
        <f t="shared" si="24"/>
        <v>2012</v>
      </c>
      <c r="B20" s="3">
        <v>2.8661726242371399E-2</v>
      </c>
      <c r="D20" s="4">
        <f t="shared" si="1"/>
        <v>1.0286617262423714</v>
      </c>
      <c r="E20" s="4">
        <f t="shared" si="2"/>
        <v>2.8661726242371399E-2</v>
      </c>
      <c r="F20" s="5">
        <f t="shared" si="21"/>
        <v>1.5518214995143387E-2</v>
      </c>
      <c r="G20" s="5">
        <f t="shared" si="3"/>
        <v>6.819130466378498E-3</v>
      </c>
      <c r="H20" s="5">
        <f t="shared" si="4"/>
        <v>5.1368312426187668E-3</v>
      </c>
      <c r="I20" s="5">
        <f t="shared" si="5"/>
        <v>7.2396614276677429E-3</v>
      </c>
      <c r="J20" s="5">
        <f t="shared" si="6"/>
        <v>7.8891112231351812E-3</v>
      </c>
      <c r="K20" s="5">
        <f t="shared" si="7"/>
        <v>8.4542215836898027E-3</v>
      </c>
      <c r="L20" s="5">
        <f t="shared" si="8"/>
        <v>8.3863316210346373E-3</v>
      </c>
      <c r="M20" s="5">
        <f t="shared" si="9"/>
        <v>6.8448301985550852E-3</v>
      </c>
      <c r="N20" s="5">
        <f t="shared" si="10"/>
        <v>1.2570950708109541E-2</v>
      </c>
      <c r="O20" s="5">
        <f t="shared" si="11"/>
        <v>1.6534699618119264E-2</v>
      </c>
      <c r="P20" s="5">
        <f t="shared" si="12"/>
        <v>1.7734670405340713E-2</v>
      </c>
      <c r="Q20" s="5">
        <f t="shared" si="13"/>
        <v>1.8552480807334959E-2</v>
      </c>
      <c r="R20" s="5">
        <f>+IF(TYPE(GEOMEAN($D20:$D33)-1)&gt;1,"",GEOMEAN($D20:$D33)-1)</f>
        <v>1.9390112190767139E-2</v>
      </c>
      <c r="S20" s="5" t="str">
        <f t="shared" si="15"/>
        <v/>
      </c>
      <c r="T20" s="5" t="str">
        <f t="shared" si="16"/>
        <v/>
      </c>
      <c r="U20" s="5" t="str">
        <f t="shared" si="17"/>
        <v/>
      </c>
      <c r="V20" s="5" t="str">
        <f t="shared" si="18"/>
        <v/>
      </c>
      <c r="W20" s="5" t="str">
        <f t="shared" si="19"/>
        <v/>
      </c>
      <c r="X20" s="5" t="str">
        <f t="shared" si="20"/>
        <v/>
      </c>
      <c r="Y20" s="5" t="str">
        <f t="shared" si="22"/>
        <v/>
      </c>
      <c r="Z20" s="5" t="str">
        <f t="shared" si="23"/>
        <v/>
      </c>
    </row>
    <row r="21" spans="1:26" x14ac:dyDescent="0.3">
      <c r="A21">
        <f t="shared" si="24"/>
        <v>2013</v>
      </c>
      <c r="B21" s="3">
        <v>2.542642229049541E-3</v>
      </c>
      <c r="D21" s="4">
        <f t="shared" si="1"/>
        <v>1.0025426422290495</v>
      </c>
      <c r="E21" s="4">
        <f t="shared" si="2"/>
        <v>2.542642229049541E-3</v>
      </c>
      <c r="F21" s="5">
        <f t="shared" si="21"/>
        <v>-3.9276198687014929E-3</v>
      </c>
      <c r="G21" s="5">
        <f t="shared" si="3"/>
        <v>-2.5846312678570182E-3</v>
      </c>
      <c r="H21" s="5">
        <f t="shared" si="4"/>
        <v>1.9542174692805947E-3</v>
      </c>
      <c r="I21" s="5">
        <f t="shared" si="5"/>
        <v>3.7851992054380723E-3</v>
      </c>
      <c r="J21" s="5">
        <f t="shared" si="6"/>
        <v>5.1251105276541864E-3</v>
      </c>
      <c r="K21" s="5">
        <f t="shared" si="7"/>
        <v>5.5226555521421528E-3</v>
      </c>
      <c r="L21" s="5">
        <f t="shared" si="8"/>
        <v>4.1504561074519053E-3</v>
      </c>
      <c r="M21" s="5">
        <f t="shared" si="9"/>
        <v>1.0798696278402797E-2</v>
      </c>
      <c r="N21" s="5">
        <f t="shared" si="10"/>
        <v>1.5329888112560752E-2</v>
      </c>
      <c r="O21" s="5">
        <f t="shared" si="11"/>
        <v>1.6747076034411723E-2</v>
      </c>
      <c r="P21" s="5">
        <f>+IF(TYPE(GEOMEAN($D21:$D32)-1)&gt;1,"",GEOMEAN($D21:$D32)-1)</f>
        <v>1.7714541735874834E-2</v>
      </c>
      <c r="Q21" s="5">
        <f>+IF(TYPE(GEOMEAN($D21:$D33)-1)&gt;1,"",GEOMEAN($D21:$D33)-1)</f>
        <v>1.8680382132506779E-2</v>
      </c>
      <c r="R21" s="5" t="str">
        <f t="shared" si="14"/>
        <v/>
      </c>
      <c r="S21" s="5" t="str">
        <f t="shared" si="15"/>
        <v/>
      </c>
      <c r="T21" s="5" t="str">
        <f t="shared" si="16"/>
        <v/>
      </c>
      <c r="U21" s="5" t="str">
        <f t="shared" si="17"/>
        <v/>
      </c>
      <c r="V21" s="5" t="str">
        <f t="shared" si="18"/>
        <v/>
      </c>
      <c r="W21" s="5" t="str">
        <f t="shared" si="19"/>
        <v/>
      </c>
      <c r="X21" s="5" t="str">
        <f t="shared" si="20"/>
        <v/>
      </c>
      <c r="Y21" s="5" t="str">
        <f t="shared" si="22"/>
        <v/>
      </c>
      <c r="Z21" s="5" t="str">
        <f t="shared" si="23"/>
        <v/>
      </c>
    </row>
    <row r="22" spans="1:26" x14ac:dyDescent="0.3">
      <c r="A22">
        <f t="shared" si="24"/>
        <v>2014</v>
      </c>
      <c r="B22" s="3">
        <v>-1.0356123850787213E-2</v>
      </c>
      <c r="D22" s="4">
        <f t="shared" si="1"/>
        <v>0.98964387614921279</v>
      </c>
      <c r="E22" s="4">
        <f t="shared" si="2"/>
        <v>-1.0356123850787213E-2</v>
      </c>
      <c r="F22" s="5">
        <f t="shared" si="21"/>
        <v>-5.1384262710796325E-3</v>
      </c>
      <c r="G22" s="5">
        <f t="shared" si="3"/>
        <v>1.7581526406049708E-3</v>
      </c>
      <c r="H22" s="5">
        <f t="shared" si="4"/>
        <v>4.0960790050301732E-3</v>
      </c>
      <c r="I22" s="5">
        <f t="shared" si="5"/>
        <v>5.6424019070637765E-3</v>
      </c>
      <c r="J22" s="5">
        <f t="shared" si="6"/>
        <v>6.0201849194656543E-3</v>
      </c>
      <c r="K22" s="5">
        <f t="shared" si="7"/>
        <v>4.3803541985396599E-3</v>
      </c>
      <c r="L22" s="5">
        <f t="shared" si="8"/>
        <v>1.1835472111936696E-2</v>
      </c>
      <c r="M22" s="5">
        <f t="shared" si="9"/>
        <v>1.6760723226538099E-2</v>
      </c>
      <c r="N22" s="5">
        <f t="shared" si="10"/>
        <v>1.8178541662273506E-2</v>
      </c>
      <c r="O22" s="5">
        <f t="shared" si="11"/>
        <v>1.9105138749423212E-2</v>
      </c>
      <c r="P22" s="5">
        <f>+IF(TYPE(GEOMEAN($D22:$D33)-1)&gt;1,"",GEOMEAN($D22:$D33)-1)</f>
        <v>2.0036862115713205E-2</v>
      </c>
      <c r="Q22" s="5" t="str">
        <f t="shared" si="13"/>
        <v/>
      </c>
      <c r="R22" s="5" t="str">
        <f t="shared" si="14"/>
        <v/>
      </c>
      <c r="S22" s="5" t="str">
        <f t="shared" si="15"/>
        <v/>
      </c>
      <c r="T22" s="5" t="str">
        <f t="shared" si="16"/>
        <v/>
      </c>
      <c r="U22" s="5" t="str">
        <f t="shared" si="17"/>
        <v/>
      </c>
      <c r="V22" s="5" t="str">
        <f t="shared" si="18"/>
        <v/>
      </c>
      <c r="W22" s="5" t="str">
        <f t="shared" si="19"/>
        <v/>
      </c>
      <c r="X22" s="5" t="str">
        <f t="shared" si="20"/>
        <v/>
      </c>
      <c r="Y22" s="5" t="str">
        <f t="shared" si="22"/>
        <v/>
      </c>
      <c r="Z22" s="5" t="str">
        <f t="shared" si="23"/>
        <v/>
      </c>
    </row>
    <row r="23" spans="1:26" x14ac:dyDescent="0.3">
      <c r="A23">
        <f t="shared" si="24"/>
        <v>2015</v>
      </c>
      <c r="B23" s="3">
        <v>1.0678056593693697E-4</v>
      </c>
      <c r="D23" s="4">
        <f t="shared" si="1"/>
        <v>1.0001067805659369</v>
      </c>
      <c r="E23" s="4">
        <f t="shared" si="2"/>
        <v>1.0678056593693697E-4</v>
      </c>
      <c r="F23" s="5">
        <f t="shared" si="21"/>
        <v>7.8707872335004314E-3</v>
      </c>
      <c r="G23" s="5">
        <f t="shared" si="3"/>
        <v>8.9602290846462207E-3</v>
      </c>
      <c r="H23" s="5">
        <f t="shared" si="4"/>
        <v>9.6822823022719717E-3</v>
      </c>
      <c r="I23" s="5">
        <f t="shared" si="5"/>
        <v>9.3278230233981851E-3</v>
      </c>
      <c r="J23" s="5">
        <f t="shared" si="6"/>
        <v>6.857680310643266E-3</v>
      </c>
      <c r="K23" s="5">
        <f t="shared" si="7"/>
        <v>1.5046064593573716E-2</v>
      </c>
      <c r="L23" s="5">
        <f t="shared" si="8"/>
        <v>2.0202160335209607E-2</v>
      </c>
      <c r="M23" s="5">
        <f t="shared" si="9"/>
        <v>2.1399418871198783E-2</v>
      </c>
      <c r="N23" s="5">
        <f t="shared" si="10"/>
        <v>2.2099077878777074E-2</v>
      </c>
      <c r="O23" s="5">
        <f>+IF(TYPE(GEOMEAN($D23:$D33)-1)&gt;1,"",GEOMEAN($D23:$D33)-1)</f>
        <v>2.2845720601559316E-2</v>
      </c>
      <c r="P23" s="5" t="str">
        <f t="shared" ref="P23:P33" si="25">+IF(TYPE(GEOMEAN($D23:$D34)-1)&gt;1,"",GEOMEAN($D23:$D34)-1)</f>
        <v/>
      </c>
      <c r="Q23" s="5" t="str">
        <f t="shared" si="13"/>
        <v/>
      </c>
      <c r="R23" s="5" t="str">
        <f t="shared" si="14"/>
        <v/>
      </c>
      <c r="S23" s="5" t="str">
        <f t="shared" si="15"/>
        <v/>
      </c>
      <c r="T23" s="5" t="str">
        <f t="shared" si="16"/>
        <v/>
      </c>
      <c r="U23" s="5" t="str">
        <f t="shared" si="17"/>
        <v/>
      </c>
      <c r="V23" s="5" t="str">
        <f t="shared" si="18"/>
        <v/>
      </c>
      <c r="W23" s="5" t="str">
        <f t="shared" si="19"/>
        <v/>
      </c>
      <c r="X23" s="5" t="str">
        <f t="shared" si="20"/>
        <v/>
      </c>
      <c r="Y23" s="5" t="str">
        <f t="shared" si="22"/>
        <v/>
      </c>
      <c r="Z23" s="5" t="str">
        <f t="shared" si="23"/>
        <v/>
      </c>
    </row>
    <row r="24" spans="1:26" x14ac:dyDescent="0.3">
      <c r="A24">
        <f t="shared" si="24"/>
        <v>2016</v>
      </c>
      <c r="B24" s="3">
        <v>1.5695067264573925E-2</v>
      </c>
      <c r="D24" s="4">
        <f t="shared" si="1"/>
        <v>1.0156950672645739</v>
      </c>
      <c r="E24" s="4">
        <f t="shared" si="2"/>
        <v>1.5695067264573925E-2</v>
      </c>
      <c r="F24" s="5">
        <f t="shared" si="21"/>
        <v>1.3416300816933679E-2</v>
      </c>
      <c r="G24" s="5">
        <f t="shared" si="3"/>
        <v>1.289444647061555E-2</v>
      </c>
      <c r="H24" s="5">
        <f t="shared" si="4"/>
        <v>1.164633728826403E-2</v>
      </c>
      <c r="I24" s="5">
        <f t="shared" si="5"/>
        <v>8.2133188198056928E-3</v>
      </c>
      <c r="J24" s="5">
        <f t="shared" si="6"/>
        <v>1.7557551805189364E-2</v>
      </c>
      <c r="K24" s="5">
        <f t="shared" si="7"/>
        <v>2.310570311655491E-2</v>
      </c>
      <c r="L24" s="5">
        <f t="shared" si="8"/>
        <v>2.4092677307049781E-2</v>
      </c>
      <c r="M24" s="5">
        <f t="shared" si="9"/>
        <v>2.4572326397118482E-2</v>
      </c>
      <c r="N24" s="5">
        <f>+IF(TYPE(GEOMEAN($D24:$D33)-1)&gt;1,"",GEOMEAN($D24:$D33)-1)</f>
        <v>2.51478579475366E-2</v>
      </c>
      <c r="O24" s="5" t="str">
        <f t="shared" si="11"/>
        <v/>
      </c>
      <c r="P24" s="5" t="str">
        <f t="shared" si="25"/>
        <v/>
      </c>
      <c r="Q24" s="5" t="str">
        <f t="shared" si="13"/>
        <v/>
      </c>
      <c r="R24" s="5" t="str">
        <f t="shared" si="14"/>
        <v/>
      </c>
      <c r="S24" s="5" t="str">
        <f t="shared" si="15"/>
        <v/>
      </c>
      <c r="T24" s="5" t="str">
        <f t="shared" si="16"/>
        <v/>
      </c>
      <c r="U24" s="5" t="str">
        <f t="shared" si="17"/>
        <v/>
      </c>
      <c r="V24" s="5" t="str">
        <f t="shared" si="18"/>
        <v/>
      </c>
      <c r="W24" s="5" t="str">
        <f t="shared" si="19"/>
        <v/>
      </c>
      <c r="X24" s="5" t="str">
        <f t="shared" si="20"/>
        <v/>
      </c>
      <c r="Y24" s="5" t="str">
        <f t="shared" si="22"/>
        <v/>
      </c>
      <c r="Z24" s="5" t="str">
        <f t="shared" si="23"/>
        <v/>
      </c>
    </row>
    <row r="25" spans="1:26" x14ac:dyDescent="0.3">
      <c r="A25">
        <f t="shared" si="24"/>
        <v>2017</v>
      </c>
      <c r="B25" s="3">
        <v>1.1142646904236386E-2</v>
      </c>
      <c r="D25" s="4">
        <f t="shared" si="1"/>
        <v>1.0111426469042364</v>
      </c>
      <c r="E25" s="4">
        <f t="shared" si="2"/>
        <v>1.1142646904236386E-2</v>
      </c>
      <c r="F25" s="5">
        <f t="shared" si="21"/>
        <v>1.1497033259026068E-2</v>
      </c>
      <c r="G25" s="5">
        <f t="shared" si="3"/>
        <v>1.0300350236822631E-2</v>
      </c>
      <c r="H25" s="5">
        <f t="shared" si="4"/>
        <v>6.3515088020658084E-3</v>
      </c>
      <c r="I25" s="5">
        <f t="shared" si="5"/>
        <v>1.7930458342613642E-2</v>
      </c>
      <c r="J25" s="5">
        <f t="shared" si="6"/>
        <v>2.4346055173052994E-2</v>
      </c>
      <c r="K25" s="5">
        <f t="shared" si="7"/>
        <v>2.5297990313893015E-2</v>
      </c>
      <c r="L25" s="5">
        <f t="shared" si="8"/>
        <v>2.5687425343431602E-2</v>
      </c>
      <c r="M25" s="5">
        <f>+IF(TYPE(GEOMEAN($D25:$D33)-1)&gt;1,"",GEOMEAN($D25:$D33)-1)</f>
        <v>2.6203583637797845E-2</v>
      </c>
      <c r="N25" s="5" t="str">
        <f t="shared" si="10"/>
        <v/>
      </c>
      <c r="O25" s="5" t="str">
        <f t="shared" si="11"/>
        <v/>
      </c>
      <c r="P25" s="5" t="str">
        <f t="shared" si="25"/>
        <v/>
      </c>
      <c r="Q25" s="5" t="str">
        <f t="shared" si="13"/>
        <v/>
      </c>
      <c r="R25" s="5" t="str">
        <f t="shared" si="14"/>
        <v/>
      </c>
      <c r="S25" s="5" t="str">
        <f t="shared" si="15"/>
        <v/>
      </c>
      <c r="T25" s="5" t="str">
        <f t="shared" si="16"/>
        <v/>
      </c>
      <c r="U25" s="5" t="str">
        <f t="shared" si="17"/>
        <v/>
      </c>
      <c r="V25" s="5" t="str">
        <f t="shared" si="18"/>
        <v/>
      </c>
      <c r="W25" s="5" t="str">
        <f t="shared" si="19"/>
        <v/>
      </c>
      <c r="X25" s="5" t="str">
        <f t="shared" si="20"/>
        <v/>
      </c>
      <c r="Y25" s="5" t="str">
        <f t="shared" si="22"/>
        <v/>
      </c>
      <c r="Z25" s="5" t="str">
        <f t="shared" si="23"/>
        <v/>
      </c>
    </row>
    <row r="26" spans="1:26" x14ac:dyDescent="0.3">
      <c r="A26">
        <f t="shared" si="24"/>
        <v>2018</v>
      </c>
      <c r="B26" s="3">
        <v>1.1851543819523913E-2</v>
      </c>
      <c r="D26" s="4">
        <f t="shared" si="1"/>
        <v>1.0118515438195239</v>
      </c>
      <c r="E26" s="4">
        <f t="shared" si="2"/>
        <v>1.1851543819523913E-2</v>
      </c>
      <c r="F26" s="5">
        <f t="shared" si="21"/>
        <v>9.8794650567151088E-3</v>
      </c>
      <c r="G26" s="5">
        <f t="shared" si="3"/>
        <v>4.7595129891693233E-3</v>
      </c>
      <c r="H26" s="5">
        <f t="shared" si="4"/>
        <v>1.9634519077588397E-2</v>
      </c>
      <c r="I26" s="5">
        <f t="shared" si="5"/>
        <v>2.7007354273290707E-2</v>
      </c>
      <c r="J26" s="5">
        <f t="shared" si="6"/>
        <v>2.7676405877706145E-2</v>
      </c>
      <c r="K26" s="5">
        <f t="shared" si="7"/>
        <v>2.7782260235339473E-2</v>
      </c>
      <c r="L26" s="5">
        <f>+IF(TYPE(GEOMEAN($D26:$D33)-1)&gt;1,"",GEOMEAN($D26:$D33)-1)</f>
        <v>2.8101906033745738E-2</v>
      </c>
      <c r="M26" s="5" t="str">
        <f t="shared" si="9"/>
        <v/>
      </c>
      <c r="N26" s="5" t="str">
        <f t="shared" si="10"/>
        <v/>
      </c>
      <c r="O26" s="5" t="str">
        <f t="shared" si="11"/>
        <v/>
      </c>
      <c r="P26" s="5" t="str">
        <f t="shared" si="25"/>
        <v/>
      </c>
      <c r="Q26" s="5" t="str">
        <f t="shared" si="13"/>
        <v/>
      </c>
      <c r="R26" s="5" t="str">
        <f t="shared" si="14"/>
        <v/>
      </c>
      <c r="S26" s="5" t="str">
        <f t="shared" si="15"/>
        <v/>
      </c>
      <c r="T26" s="5" t="str">
        <f t="shared" si="16"/>
        <v/>
      </c>
      <c r="U26" s="5" t="str">
        <f t="shared" si="17"/>
        <v/>
      </c>
      <c r="V26" s="5" t="str">
        <f t="shared" si="18"/>
        <v/>
      </c>
      <c r="W26" s="5" t="str">
        <f t="shared" si="19"/>
        <v/>
      </c>
      <c r="X26" s="5" t="str">
        <f t="shared" si="20"/>
        <v/>
      </c>
      <c r="Y26" s="5" t="str">
        <f t="shared" si="22"/>
        <v/>
      </c>
      <c r="Z26" s="5" t="str">
        <f t="shared" si="23"/>
        <v/>
      </c>
    </row>
    <row r="27" spans="1:26" x14ac:dyDescent="0.3">
      <c r="A27">
        <f t="shared" si="24"/>
        <v>2019</v>
      </c>
      <c r="B27" s="3">
        <v>7.9112298366381673E-3</v>
      </c>
      <c r="D27" s="4">
        <f t="shared" si="1"/>
        <v>1.0079112298366382</v>
      </c>
      <c r="E27" s="4">
        <f t="shared" si="2"/>
        <v>7.9112298366381673E-3</v>
      </c>
      <c r="F27" s="5">
        <f t="shared" si="21"/>
        <v>1.2321598266606948E-3</v>
      </c>
      <c r="G27" s="5">
        <f t="shared" si="3"/>
        <v>2.2242124876541869E-2</v>
      </c>
      <c r="H27" s="5">
        <f t="shared" si="4"/>
        <v>3.083164496001034E-2</v>
      </c>
      <c r="I27" s="5">
        <f t="shared" si="5"/>
        <v>3.0870954462120181E-2</v>
      </c>
      <c r="J27" s="5">
        <f t="shared" si="6"/>
        <v>3.0461658566001137E-2</v>
      </c>
      <c r="K27" s="5">
        <f>+IF(TYPE(GEOMEAN($D27:$D33)-1)&gt;1,"",GEOMEAN($D27:$D33)-1)</f>
        <v>3.0444593905710748E-2</v>
      </c>
      <c r="L27" s="5" t="str">
        <f t="shared" si="8"/>
        <v/>
      </c>
      <c r="M27" s="5" t="str">
        <f t="shared" si="9"/>
        <v/>
      </c>
      <c r="N27" s="5" t="str">
        <f t="shared" si="10"/>
        <v/>
      </c>
      <c r="O27" s="5" t="str">
        <f t="shared" si="11"/>
        <v/>
      </c>
      <c r="P27" s="5" t="str">
        <f t="shared" si="25"/>
        <v/>
      </c>
      <c r="Q27" s="5" t="str">
        <f t="shared" si="13"/>
        <v/>
      </c>
      <c r="R27" s="5" t="str">
        <f t="shared" si="14"/>
        <v/>
      </c>
      <c r="S27" s="5" t="str">
        <f t="shared" si="15"/>
        <v/>
      </c>
      <c r="T27" s="5" t="str">
        <f t="shared" si="16"/>
        <v/>
      </c>
      <c r="U27" s="5" t="str">
        <f t="shared" si="17"/>
        <v/>
      </c>
      <c r="V27" s="5" t="str">
        <f t="shared" si="18"/>
        <v/>
      </c>
      <c r="W27" s="5" t="str">
        <f t="shared" si="19"/>
        <v/>
      </c>
      <c r="X27" s="5" t="str">
        <f t="shared" si="20"/>
        <v/>
      </c>
      <c r="Y27" s="5" t="str">
        <f t="shared" si="22"/>
        <v/>
      </c>
      <c r="Z27" s="5" t="str">
        <f t="shared" si="23"/>
        <v/>
      </c>
    </row>
    <row r="28" spans="1:26" x14ac:dyDescent="0.3">
      <c r="A28">
        <f t="shared" si="24"/>
        <v>2020</v>
      </c>
      <c r="B28" s="3">
        <v>-5.402650356778782E-3</v>
      </c>
      <c r="D28" s="4">
        <f t="shared" si="1"/>
        <v>0.99459734964322122</v>
      </c>
      <c r="E28" s="4">
        <f t="shared" si="2"/>
        <v>-5.402650356778782E-3</v>
      </c>
      <c r="F28" s="5">
        <f t="shared" si="21"/>
        <v>2.9483803234079398E-2</v>
      </c>
      <c r="G28" s="5">
        <f t="shared" si="3"/>
        <v>3.8587030582177384E-2</v>
      </c>
      <c r="H28" s="5">
        <f t="shared" si="4"/>
        <v>3.6692145325368131E-2</v>
      </c>
      <c r="I28" s="5">
        <f t="shared" si="5"/>
        <v>3.5031930330953198E-2</v>
      </c>
      <c r="J28" s="5">
        <f>+IF(TYPE(GEOMEAN($D28:$D33)-1)&gt;1,"",GEOMEAN($D28:$D33)-1)</f>
        <v>3.4248830860350132E-2</v>
      </c>
      <c r="K28" s="5" t="str">
        <f t="shared" si="7"/>
        <v/>
      </c>
      <c r="L28" s="5" t="str">
        <f t="shared" si="8"/>
        <v/>
      </c>
      <c r="M28" s="5" t="str">
        <f t="shared" si="9"/>
        <v/>
      </c>
      <c r="N28" s="5" t="str">
        <f t="shared" si="10"/>
        <v/>
      </c>
      <c r="O28" s="5" t="str">
        <f t="shared" si="11"/>
        <v/>
      </c>
      <c r="P28" s="5" t="str">
        <f t="shared" si="25"/>
        <v/>
      </c>
      <c r="Q28" s="5" t="str">
        <f t="shared" si="13"/>
        <v/>
      </c>
      <c r="R28" s="5" t="str">
        <f t="shared" si="14"/>
        <v/>
      </c>
      <c r="S28" s="5" t="str">
        <f t="shared" si="15"/>
        <v/>
      </c>
      <c r="T28" s="5" t="str">
        <f t="shared" si="16"/>
        <v/>
      </c>
      <c r="U28" s="5" t="str">
        <f t="shared" si="17"/>
        <v/>
      </c>
      <c r="V28" s="5" t="str">
        <f t="shared" si="18"/>
        <v/>
      </c>
      <c r="W28" s="5" t="str">
        <f t="shared" si="19"/>
        <v/>
      </c>
      <c r="X28" s="5" t="str">
        <f t="shared" si="20"/>
        <v/>
      </c>
      <c r="Y28" s="5" t="str">
        <f t="shared" si="22"/>
        <v/>
      </c>
      <c r="Z28" s="5" t="str">
        <f t="shared" si="23"/>
        <v/>
      </c>
    </row>
    <row r="29" spans="1:26" x14ac:dyDescent="0.3">
      <c r="A29">
        <f t="shared" si="24"/>
        <v>2021</v>
      </c>
      <c r="B29" s="3">
        <v>6.5593932561238244E-2</v>
      </c>
      <c r="D29" s="4">
        <f t="shared" si="1"/>
        <v>1.0655939325612382</v>
      </c>
      <c r="E29" s="4">
        <f t="shared" si="2"/>
        <v>6.5593932561238244E-2</v>
      </c>
      <c r="F29" s="5">
        <f t="shared" si="21"/>
        <v>6.1306181410440308E-2</v>
      </c>
      <c r="G29" s="5">
        <f t="shared" si="3"/>
        <v>5.1115994966552947E-2</v>
      </c>
      <c r="H29" s="5">
        <f t="shared" si="4"/>
        <v>4.5394859853642666E-2</v>
      </c>
      <c r="I29" s="5">
        <f>+IF(TYPE(GEOMEAN($D29:$D33)-1)&gt;1,"",GEOMEAN($D29:$D33)-1)</f>
        <v>4.2366839474624385E-2</v>
      </c>
      <c r="J29" s="5" t="str">
        <f t="shared" si="6"/>
        <v/>
      </c>
      <c r="K29" s="5" t="str">
        <f t="shared" si="7"/>
        <v/>
      </c>
      <c r="L29" s="5" t="str">
        <f t="shared" si="8"/>
        <v/>
      </c>
      <c r="M29" s="5" t="str">
        <f t="shared" si="9"/>
        <v/>
      </c>
      <c r="N29" s="5" t="str">
        <f t="shared" si="10"/>
        <v/>
      </c>
      <c r="O29" s="5" t="str">
        <f t="shared" si="11"/>
        <v/>
      </c>
      <c r="P29" s="5" t="str">
        <f t="shared" si="25"/>
        <v/>
      </c>
      <c r="Q29" s="5" t="str">
        <f t="shared" si="13"/>
        <v/>
      </c>
      <c r="R29" s="5" t="str">
        <f t="shared" si="14"/>
        <v/>
      </c>
      <c r="S29" s="5" t="str">
        <f t="shared" si="15"/>
        <v/>
      </c>
      <c r="T29" s="5" t="str">
        <f t="shared" si="16"/>
        <v/>
      </c>
      <c r="U29" s="5" t="str">
        <f t="shared" si="17"/>
        <v/>
      </c>
      <c r="V29" s="5" t="str">
        <f t="shared" si="18"/>
        <v/>
      </c>
      <c r="W29" s="5" t="str">
        <f t="shared" si="19"/>
        <v/>
      </c>
      <c r="X29" s="5" t="str">
        <f t="shared" si="20"/>
        <v/>
      </c>
      <c r="Y29" s="5" t="str">
        <f t="shared" si="22"/>
        <v/>
      </c>
      <c r="Z29" s="5" t="str">
        <f t="shared" si="23"/>
        <v/>
      </c>
    </row>
    <row r="30" spans="1:26" x14ac:dyDescent="0.3">
      <c r="A30">
        <f t="shared" si="24"/>
        <v>2022</v>
      </c>
      <c r="B30" s="6">
        <v>5.7035683370203039E-2</v>
      </c>
      <c r="D30" s="4">
        <f t="shared" si="1"/>
        <v>1.057035683370203</v>
      </c>
      <c r="E30" s="4">
        <f t="shared" si="2"/>
        <v>5.7035683370203039E-2</v>
      </c>
      <c r="F30" s="5">
        <f t="shared" si="21"/>
        <v>4.3950959503290532E-2</v>
      </c>
      <c r="G30" s="5">
        <f t="shared" si="3"/>
        <v>3.8747282991136389E-2</v>
      </c>
      <c r="H30" s="5">
        <f>+IF(TYPE(GEOMEAN($D30:$D33)-1)&gt;1,"",GEOMEAN($D30:$D33)-1)</f>
        <v>3.6639609010520102E-2</v>
      </c>
      <c r="I30" s="5" t="str">
        <f t="shared" si="5"/>
        <v/>
      </c>
      <c r="J30" s="5" t="str">
        <f t="shared" si="6"/>
        <v/>
      </c>
      <c r="K30" s="5" t="str">
        <f t="shared" si="7"/>
        <v/>
      </c>
      <c r="L30" s="5" t="str">
        <f t="shared" si="8"/>
        <v/>
      </c>
      <c r="M30" s="5" t="str">
        <f t="shared" si="9"/>
        <v/>
      </c>
      <c r="N30" s="5" t="str">
        <f t="shared" si="10"/>
        <v/>
      </c>
      <c r="O30" s="5" t="str">
        <f t="shared" si="11"/>
        <v/>
      </c>
      <c r="P30" s="5" t="str">
        <f t="shared" si="25"/>
        <v/>
      </c>
      <c r="Q30" s="5" t="str">
        <f t="shared" si="13"/>
        <v/>
      </c>
      <c r="R30" s="5" t="str">
        <f t="shared" si="14"/>
        <v/>
      </c>
      <c r="S30" s="5" t="str">
        <f t="shared" si="15"/>
        <v/>
      </c>
      <c r="T30" s="5" t="str">
        <f t="shared" si="16"/>
        <v/>
      </c>
      <c r="U30" s="5" t="str">
        <f t="shared" si="17"/>
        <v/>
      </c>
      <c r="V30" s="5" t="str">
        <f t="shared" si="18"/>
        <v/>
      </c>
      <c r="W30" s="5" t="str">
        <f t="shared" si="19"/>
        <v/>
      </c>
      <c r="X30" s="5" t="str">
        <f t="shared" si="20"/>
        <v/>
      </c>
      <c r="Y30" s="5" t="str">
        <f t="shared" si="22"/>
        <v/>
      </c>
      <c r="Z30" s="5" t="str">
        <f t="shared" si="23"/>
        <v/>
      </c>
    </row>
    <row r="31" spans="1:26" x14ac:dyDescent="0.3">
      <c r="A31">
        <f t="shared" si="24"/>
        <v>2023</v>
      </c>
      <c r="B31" s="6">
        <v>3.1028207461328394E-2</v>
      </c>
      <c r="D31" s="4">
        <f t="shared" si="1"/>
        <v>1.0310282074613284</v>
      </c>
      <c r="E31" s="4">
        <f t="shared" si="2"/>
        <v>3.1028207461328394E-2</v>
      </c>
      <c r="F31" s="5">
        <f t="shared" si="21"/>
        <v>2.9722084117191905E-2</v>
      </c>
      <c r="G31" s="5">
        <f>+IF(TYPE(GEOMEAN($D31:$D33)-1)&gt;1,"",GEOMEAN($D31:$D33)-1)</f>
        <v>2.9928751889381378E-2</v>
      </c>
      <c r="H31" s="5" t="str">
        <f t="shared" si="4"/>
        <v/>
      </c>
      <c r="I31" s="5" t="str">
        <f t="shared" si="5"/>
        <v/>
      </c>
      <c r="J31" s="5" t="str">
        <f t="shared" si="6"/>
        <v/>
      </c>
      <c r="K31" s="5" t="str">
        <f t="shared" si="7"/>
        <v/>
      </c>
      <c r="L31" s="5" t="str">
        <f t="shared" si="8"/>
        <v/>
      </c>
      <c r="M31" s="5" t="str">
        <f t="shared" si="9"/>
        <v/>
      </c>
      <c r="N31" s="5" t="str">
        <f t="shared" si="10"/>
        <v/>
      </c>
      <c r="O31" s="5" t="str">
        <f t="shared" si="11"/>
        <v/>
      </c>
      <c r="P31" s="5" t="str">
        <f t="shared" si="25"/>
        <v/>
      </c>
      <c r="Q31" s="5" t="str">
        <f t="shared" si="13"/>
        <v/>
      </c>
      <c r="R31" s="5" t="str">
        <f t="shared" si="14"/>
        <v/>
      </c>
      <c r="S31" s="5" t="str">
        <f t="shared" si="15"/>
        <v/>
      </c>
      <c r="T31" s="5" t="str">
        <f t="shared" si="16"/>
        <v/>
      </c>
      <c r="U31" s="5" t="str">
        <f t="shared" si="17"/>
        <v/>
      </c>
      <c r="V31" s="5" t="str">
        <f t="shared" si="18"/>
        <v/>
      </c>
      <c r="W31" s="5" t="str">
        <f t="shared" si="19"/>
        <v/>
      </c>
      <c r="X31" s="5" t="str">
        <f t="shared" si="20"/>
        <v/>
      </c>
      <c r="Y31" s="5" t="str">
        <f t="shared" si="22"/>
        <v/>
      </c>
      <c r="Z31" s="5" t="str">
        <f t="shared" si="23"/>
        <v/>
      </c>
    </row>
    <row r="32" spans="1:26" x14ac:dyDescent="0.3">
      <c r="A32">
        <f t="shared" si="24"/>
        <v>2024</v>
      </c>
      <c r="B32" s="6">
        <v>2.8417615391404194E-2</v>
      </c>
      <c r="D32" s="4">
        <f t="shared" si="1"/>
        <v>1.0284176153914042</v>
      </c>
      <c r="E32" s="4">
        <f t="shared" si="2"/>
        <v>2.8417615391404194E-2</v>
      </c>
      <c r="F32" s="5">
        <f>+IF(TYPE(GEOMEAN($D32:$D33)-1)&gt;1,"",GEOMEAN($D32:$D33)-1)</f>
        <v>2.9379463840702558E-2</v>
      </c>
      <c r="G32" s="5" t="str">
        <f t="shared" si="3"/>
        <v/>
      </c>
      <c r="H32" s="5" t="str">
        <f t="shared" si="4"/>
        <v/>
      </c>
      <c r="I32" s="5" t="str">
        <f t="shared" si="5"/>
        <v/>
      </c>
      <c r="J32" s="5" t="str">
        <f t="shared" si="6"/>
        <v/>
      </c>
      <c r="K32" s="5" t="str">
        <f t="shared" si="7"/>
        <v/>
      </c>
      <c r="L32" s="5" t="str">
        <f t="shared" si="8"/>
        <v/>
      </c>
      <c r="M32" s="5" t="str">
        <f t="shared" si="9"/>
        <v/>
      </c>
      <c r="N32" s="5" t="str">
        <f t="shared" si="10"/>
        <v/>
      </c>
      <c r="O32" s="5" t="str">
        <f t="shared" si="11"/>
        <v/>
      </c>
      <c r="P32" s="5" t="str">
        <f t="shared" si="25"/>
        <v/>
      </c>
      <c r="Q32" s="5" t="str">
        <f t="shared" si="13"/>
        <v/>
      </c>
      <c r="R32" s="5" t="str">
        <f t="shared" si="14"/>
        <v/>
      </c>
      <c r="S32" s="5" t="str">
        <f t="shared" si="15"/>
        <v/>
      </c>
      <c r="T32" s="5" t="str">
        <f t="shared" si="16"/>
        <v/>
      </c>
      <c r="U32" s="5" t="str">
        <f t="shared" si="17"/>
        <v/>
      </c>
      <c r="V32" s="5" t="str">
        <f t="shared" si="18"/>
        <v/>
      </c>
      <c r="W32" s="5" t="str">
        <f t="shared" si="19"/>
        <v/>
      </c>
      <c r="X32" s="5" t="str">
        <f t="shared" si="20"/>
        <v/>
      </c>
      <c r="Y32" s="5" t="str">
        <f t="shared" si="22"/>
        <v/>
      </c>
      <c r="Z32" s="5" t="str">
        <f t="shared" si="23"/>
        <v/>
      </c>
    </row>
    <row r="33" spans="1:26" x14ac:dyDescent="0.3">
      <c r="A33">
        <f t="shared" si="24"/>
        <v>2025</v>
      </c>
      <c r="B33" s="6">
        <v>3.034221187828634E-2</v>
      </c>
      <c r="D33" s="4">
        <f t="shared" si="1"/>
        <v>1.0303422118782863</v>
      </c>
      <c r="E33" s="4">
        <f t="shared" si="2"/>
        <v>3.034221187828634E-2</v>
      </c>
      <c r="F33" s="5" t="str">
        <f t="shared" si="21"/>
        <v/>
      </c>
      <c r="G33" s="5" t="str">
        <f t="shared" si="3"/>
        <v/>
      </c>
      <c r="H33" s="5" t="str">
        <f>+IF(TYPE(GEOMEAN($D33:$D36)-1)&gt;1,"",GEOMEAN($D33:$D36)-1)</f>
        <v/>
      </c>
      <c r="I33" s="5" t="str">
        <f t="shared" si="5"/>
        <v/>
      </c>
      <c r="J33" s="5" t="str">
        <f t="shared" si="6"/>
        <v/>
      </c>
      <c r="K33" s="5" t="str">
        <f t="shared" si="7"/>
        <v/>
      </c>
      <c r="L33" s="5" t="str">
        <f t="shared" si="8"/>
        <v/>
      </c>
      <c r="M33" s="5" t="str">
        <f t="shared" si="9"/>
        <v/>
      </c>
      <c r="N33" s="5" t="str">
        <f t="shared" si="10"/>
        <v/>
      </c>
      <c r="O33" s="5" t="str">
        <f t="shared" si="11"/>
        <v/>
      </c>
      <c r="P33" s="5" t="str">
        <f t="shared" si="25"/>
        <v/>
      </c>
      <c r="Q33" s="5" t="str">
        <f t="shared" si="13"/>
        <v/>
      </c>
      <c r="R33" s="5" t="str">
        <f t="shared" si="14"/>
        <v/>
      </c>
      <c r="S33" s="5" t="str">
        <f t="shared" si="15"/>
        <v/>
      </c>
      <c r="T33" s="5" t="str">
        <f t="shared" si="16"/>
        <v/>
      </c>
      <c r="U33" s="5" t="str">
        <f t="shared" si="17"/>
        <v/>
      </c>
      <c r="V33" s="5" t="str">
        <f t="shared" si="18"/>
        <v/>
      </c>
      <c r="W33" s="5" t="str">
        <f t="shared" si="19"/>
        <v/>
      </c>
      <c r="X33" s="5" t="str">
        <f t="shared" si="20"/>
        <v/>
      </c>
      <c r="Y33" s="5" t="str">
        <f t="shared" si="22"/>
        <v/>
      </c>
      <c r="Z33" s="5" t="str">
        <f t="shared" si="23"/>
        <v/>
      </c>
    </row>
    <row r="34" spans="1:26" x14ac:dyDescent="0.3">
      <c r="D34">
        <v>0</v>
      </c>
      <c r="G34" s="5"/>
      <c r="H34" s="5"/>
      <c r="I34" s="5"/>
      <c r="J34" s="5"/>
      <c r="K34" s="5"/>
      <c r="L34" s="5"/>
      <c r="M34" s="5"/>
      <c r="N34" s="5"/>
      <c r="O34" s="5"/>
      <c r="P34" s="5" t="str">
        <f>+IF(TYPE(GEOMEAN($D34:$D47)-1)&gt;1,"",GEOMEAN($D34:$D47)-1)</f>
        <v/>
      </c>
      <c r="Q34" s="5"/>
      <c r="R34" s="5"/>
      <c r="S34" s="5"/>
      <c r="T34" s="5"/>
      <c r="U34" s="5"/>
      <c r="V34" s="5"/>
      <c r="W34" s="5"/>
      <c r="X34" s="5"/>
      <c r="Y34" s="5"/>
      <c r="Z34" s="5"/>
    </row>
    <row r="36" spans="1:26" x14ac:dyDescent="0.3">
      <c r="B36" s="7" t="s">
        <v>2</v>
      </c>
      <c r="E36" s="4">
        <f>+AVERAGE(E7:E33)</f>
        <v>2.415320084294657E-2</v>
      </c>
      <c r="F36" s="4">
        <f t="shared" ref="F36:Z36" si="26">+AVERAGE(F7:F33)</f>
        <v>2.3892139373660994E-2</v>
      </c>
      <c r="G36" s="4">
        <f t="shared" si="26"/>
        <v>2.3518792652664048E-2</v>
      </c>
      <c r="H36" s="4">
        <f t="shared" si="26"/>
        <v>2.3199163351643848E-2</v>
      </c>
      <c r="I36" s="4">
        <f t="shared" si="26"/>
        <v>2.2540930859140818E-2</v>
      </c>
      <c r="J36" s="4">
        <f t="shared" si="26"/>
        <v>2.1714473863284896E-2</v>
      </c>
      <c r="K36" s="4">
        <f t="shared" si="26"/>
        <v>2.1185784224508581E-2</v>
      </c>
      <c r="L36" s="4">
        <f t="shared" si="26"/>
        <v>2.0730621868059417E-2</v>
      </c>
      <c r="M36" s="4">
        <f t="shared" si="26"/>
        <v>2.03555837800075E-2</v>
      </c>
      <c r="N36" s="4">
        <f t="shared" si="26"/>
        <v>1.9952058821307992E-2</v>
      </c>
      <c r="O36" s="4">
        <f t="shared" si="26"/>
        <v>1.9636878337562211E-2</v>
      </c>
      <c r="P36" s="4">
        <f t="shared" si="26"/>
        <v>1.950723778027294E-2</v>
      </c>
      <c r="Q36" s="4">
        <f t="shared" si="26"/>
        <v>1.948515342487931E-2</v>
      </c>
      <c r="R36" s="4">
        <f t="shared" si="26"/>
        <v>1.952831666219593E-2</v>
      </c>
      <c r="S36" s="4">
        <f t="shared" si="26"/>
        <v>1.9478072326652211E-2</v>
      </c>
      <c r="T36" s="4">
        <f t="shared" si="26"/>
        <v>1.9494445330161869E-2</v>
      </c>
      <c r="U36" s="4">
        <f t="shared" si="26"/>
        <v>1.9619616061548193E-2</v>
      </c>
      <c r="V36" s="4">
        <f t="shared" si="26"/>
        <v>1.9929064315646429E-2</v>
      </c>
      <c r="W36" s="4">
        <f t="shared" si="26"/>
        <v>2.0325344088261071E-2</v>
      </c>
      <c r="X36" s="4">
        <f t="shared" si="26"/>
        <v>2.0693846739636423E-2</v>
      </c>
      <c r="Y36" s="4">
        <f t="shared" si="26"/>
        <v>2.1142886612402854E-2</v>
      </c>
      <c r="Z36" s="4">
        <f t="shared" si="26"/>
        <v>2.1666132416705453E-2</v>
      </c>
    </row>
    <row r="37" spans="1:26" x14ac:dyDescent="0.3">
      <c r="B37" s="7" t="s">
        <v>3</v>
      </c>
      <c r="E37" s="4">
        <f>1+E36</f>
        <v>1.0241532008429466</v>
      </c>
      <c r="F37">
        <f>+E37*(1+F36)</f>
        <v>1.0486224118574674</v>
      </c>
      <c r="G37">
        <f t="shared" ref="G37:Z37" si="27">+F37*(1+G36)</f>
        <v>1.0732847449328797</v>
      </c>
      <c r="H37">
        <f t="shared" si="27"/>
        <v>1.0981840530534048</v>
      </c>
      <c r="I37">
        <f t="shared" si="27"/>
        <v>1.1229381438638928</v>
      </c>
      <c r="J37">
        <f t="shared" si="27"/>
        <v>1.147322154838911</v>
      </c>
      <c r="K37">
        <f t="shared" si="27"/>
        <v>1.1716290744473266</v>
      </c>
      <c r="L37">
        <f t="shared" si="27"/>
        <v>1.1959176737593185</v>
      </c>
      <c r="M37">
        <f t="shared" si="27"/>
        <v>1.2202612761615179</v>
      </c>
      <c r="N37">
        <f t="shared" si="27"/>
        <v>1.2446080009208569</v>
      </c>
      <c r="O37">
        <f t="shared" si="27"/>
        <v>1.2690482168128963</v>
      </c>
      <c r="P37">
        <f t="shared" si="27"/>
        <v>1.2938038421328968</v>
      </c>
      <c r="Q37">
        <f t="shared" si="27"/>
        <v>1.3190138084985545</v>
      </c>
      <c r="R37">
        <f t="shared" si="27"/>
        <v>1.3447719278327235</v>
      </c>
      <c r="S37">
        <f t="shared" si="27"/>
        <v>1.3709654927059007</v>
      </c>
      <c r="T37">
        <f t="shared" si="27"/>
        <v>1.3976917045529944</v>
      </c>
      <c r="U37">
        <f t="shared" si="27"/>
        <v>1.4251138791687352</v>
      </c>
      <c r="V37">
        <f t="shared" si="27"/>
        <v>1.4535150653238094</v>
      </c>
      <c r="W37">
        <f t="shared" si="27"/>
        <v>1.4830582591639871</v>
      </c>
      <c r="X37">
        <f t="shared" si="27"/>
        <v>1.5137484394850789</v>
      </c>
      <c r="Y37">
        <f t="shared" si="27"/>
        <v>1.5457534511008135</v>
      </c>
      <c r="Z37">
        <f t="shared" si="27"/>
        <v>1.579243950055943</v>
      </c>
    </row>
    <row r="38" spans="1:26" x14ac:dyDescent="0.3">
      <c r="B38" s="8" t="s">
        <v>4</v>
      </c>
      <c r="E38" s="4">
        <f>+E37-1</f>
        <v>2.4153200842946587E-2</v>
      </c>
      <c r="F38" s="4">
        <f t="shared" ref="F38:Z38" si="28">+F37-1</f>
        <v>4.8622411857467407E-2</v>
      </c>
      <c r="G38" s="4">
        <f t="shared" si="28"/>
        <v>7.3284744932879731E-2</v>
      </c>
      <c r="H38" s="4">
        <f t="shared" si="28"/>
        <v>9.8184053053404829E-2</v>
      </c>
      <c r="I38" s="4">
        <f t="shared" si="28"/>
        <v>0.12293814386389279</v>
      </c>
      <c r="J38" s="4">
        <f t="shared" si="28"/>
        <v>0.14732215483891098</v>
      </c>
      <c r="K38" s="4">
        <f t="shared" si="28"/>
        <v>0.17162907444732656</v>
      </c>
      <c r="L38" s="4">
        <f t="shared" si="28"/>
        <v>0.19591767375931846</v>
      </c>
      <c r="M38" s="4">
        <f t="shared" si="28"/>
        <v>0.22026127616151792</v>
      </c>
      <c r="N38" s="4">
        <f t="shared" si="28"/>
        <v>0.24460800092085688</v>
      </c>
      <c r="O38" s="4">
        <f t="shared" si="28"/>
        <v>0.26904821681289626</v>
      </c>
      <c r="P38" s="4">
        <f t="shared" si="28"/>
        <v>0.29380384213289679</v>
      </c>
      <c r="Q38" s="4">
        <f t="shared" si="28"/>
        <v>0.31901380849855454</v>
      </c>
      <c r="R38" s="4">
        <f t="shared" si="28"/>
        <v>0.34477192783272348</v>
      </c>
      <c r="S38" s="4">
        <f t="shared" si="28"/>
        <v>0.37096549270590073</v>
      </c>
      <c r="T38" s="4">
        <f t="shared" si="28"/>
        <v>0.39769170455299441</v>
      </c>
      <c r="U38" s="4">
        <f t="shared" si="28"/>
        <v>0.42511387916873522</v>
      </c>
      <c r="V38" s="4">
        <f t="shared" si="28"/>
        <v>0.45351506532380936</v>
      </c>
      <c r="W38" s="4">
        <f t="shared" si="28"/>
        <v>0.48305825916398715</v>
      </c>
      <c r="X38" s="4">
        <f t="shared" si="28"/>
        <v>0.51374843948507887</v>
      </c>
      <c r="Y38" s="4">
        <f t="shared" si="28"/>
        <v>0.54575345110081352</v>
      </c>
      <c r="Z38" s="4">
        <f t="shared" si="28"/>
        <v>0.57924395005594298</v>
      </c>
    </row>
  </sheetData>
  <mergeCells count="1">
    <mergeCell ref="E5:Z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E601-C9F6-4996-AC52-AE7079298037}">
  <dimension ref="A6:U33"/>
  <sheetViews>
    <sheetView workbookViewId="0">
      <selection sqref="A1:XFD1048576"/>
    </sheetView>
  </sheetViews>
  <sheetFormatPr baseColWidth="10" defaultRowHeight="14.4" x14ac:dyDescent="0.3"/>
  <sheetData>
    <row r="6" spans="1:21" x14ac:dyDescent="0.3">
      <c r="A6" t="s">
        <v>5</v>
      </c>
      <c r="B6" s="10" t="str">
        <f>+CONCATENATE("H_",'bono 10a esp'!E6)</f>
        <v>H_1</v>
      </c>
      <c r="C6" s="10" t="str">
        <f>+CONCATENATE("H_",'bono 10a esp'!F6)</f>
        <v>H_2</v>
      </c>
      <c r="D6" s="10" t="str">
        <f>+CONCATENATE("H_",'bono 10a esp'!G6)</f>
        <v>H_3</v>
      </c>
      <c r="E6" s="10" t="str">
        <f>+CONCATENATE("H_",'bono 10a esp'!H6)</f>
        <v>H_4</v>
      </c>
      <c r="F6" s="10" t="str">
        <f>+CONCATENATE("H_",'bono 10a esp'!I6)</f>
        <v>H_5</v>
      </c>
      <c r="G6" s="10" t="str">
        <f>+CONCATENATE("H_",'bono 10a esp'!J6)</f>
        <v>H_6</v>
      </c>
      <c r="H6" s="10" t="str">
        <f>+CONCATENATE("H_",'bono 10a esp'!K6)</f>
        <v>H_7</v>
      </c>
      <c r="I6" s="10" t="str">
        <f>+CONCATENATE("H_",'bono 10a esp'!L6)</f>
        <v>H_8</v>
      </c>
      <c r="J6" s="10" t="str">
        <f>+CONCATENATE("H_",'bono 10a esp'!M6)</f>
        <v>H_9</v>
      </c>
      <c r="K6" s="10" t="str">
        <f>+CONCATENATE("H_",'bono 10a esp'!N6)</f>
        <v>H_10</v>
      </c>
      <c r="L6" s="10" t="str">
        <f>+CONCATENATE("H_",'bono 10a esp'!O6)</f>
        <v>H_11</v>
      </c>
      <c r="M6" s="10" t="str">
        <f>+CONCATENATE("H_",'bono 10a esp'!P6)</f>
        <v>H_12</v>
      </c>
      <c r="N6" s="10" t="str">
        <f>+CONCATENATE("H_",'bono 10a esp'!Q6)</f>
        <v>H_13</v>
      </c>
      <c r="O6" s="10" t="str">
        <f>+CONCATENATE("H_",'bono 10a esp'!R6)</f>
        <v>H_14</v>
      </c>
      <c r="P6" s="10" t="str">
        <f>+CONCATENATE("H_",'bono 10a esp'!S6)</f>
        <v>H_15</v>
      </c>
      <c r="Q6" s="10" t="str">
        <f>+CONCATENATE("H_",'bono 10a esp'!T6)</f>
        <v>H_16</v>
      </c>
      <c r="R6" s="10" t="str">
        <f>+CONCATENATE("H_",'bono 10a esp'!U6)</f>
        <v>H_17</v>
      </c>
      <c r="S6" s="10" t="str">
        <f>+CONCATENATE("H_",'bono 10a esp'!V6)</f>
        <v>H_18</v>
      </c>
      <c r="T6" s="10" t="str">
        <f>+CONCATENATE("H_",'bono 10a esp'!W6)</f>
        <v>H_19</v>
      </c>
      <c r="U6" s="10" t="str">
        <f>+CONCATENATE("H_",'bono 10a esp'!X6)</f>
        <v>H_20</v>
      </c>
    </row>
    <row r="7" spans="1:21" x14ac:dyDescent="0.3">
      <c r="A7">
        <f>+'bono 10a esp'!A7</f>
        <v>1999</v>
      </c>
      <c r="B7">
        <f>+IF('bono 10a esp'!E7="","",(1+'bono 10a esp'!E7)^('bono 10a esp'!E$6)-1)</f>
        <v>4.8499999999999988E-2</v>
      </c>
      <c r="C7">
        <f>+IF('bono 10a esp'!F7="","",(1+'bono 10a esp'!F7)^('bono 10a esp'!F$6)-1)</f>
        <v>0.10962754999999968</v>
      </c>
      <c r="D7">
        <f>+IF('bono 10a esp'!G7="","",(1+'bono 10a esp'!G7)^('bono 10a esp'!G$6)-1)</f>
        <v>0.16755010811000037</v>
      </c>
      <c r="E7">
        <f>+IF('bono 10a esp'!H7="","",(1+'bono 10a esp'!H7)^('bono 10a esp'!H$6)-1)</f>
        <v>0.22802920371009772</v>
      </c>
      <c r="F7">
        <f>+IF('bono 10a esp'!I7="","",(1+'bono 10a esp'!I7)^('bono 10a esp'!I$6)-1)</f>
        <v>0.28120286823074481</v>
      </c>
      <c r="G7">
        <f>+IF('bono 10a esp'!J7="","",(1+'bono 10a esp'!J7)^('bono 10a esp'!J$6)-1)</f>
        <v>0.33629459156466712</v>
      </c>
      <c r="H7">
        <f>+IF('bono 10a esp'!K7="","",(1+'bono 10a esp'!K7)^('bono 10a esp'!K$6)-1)</f>
        <v>0.38814282171737524</v>
      </c>
      <c r="I7">
        <f>+IF('bono 10a esp'!L7="","",(1+'bono 10a esp'!L7)^('bono 10a esp'!L$6)-1)</f>
        <v>0.43436797768056601</v>
      </c>
      <c r="J7">
        <f>+IF('bono 10a esp'!M7="","",(1+'bono 10a esp'!M7)^('bono 10a esp'!M$6)-1)</f>
        <v>0.49174269678778826</v>
      </c>
      <c r="K7">
        <f>+IF('bono 10a esp'!N7="","",(1+'bono 10a esp'!N7)^('bono 10a esp'!N$6)-1)</f>
        <v>0.55737937544645155</v>
      </c>
      <c r="L7">
        <f>+IF('bono 10a esp'!O7="","",(1+'bono 10a esp'!O7)^('bono 10a esp'!O$6)-1)</f>
        <v>0.61905159871412874</v>
      </c>
      <c r="M7">
        <f>+IF('bono 10a esp'!P7="","",(1+'bono 10a esp'!P7)^('bono 10a esp'!P$6)-1)</f>
        <v>0.68219461106397938</v>
      </c>
      <c r="N7">
        <f>+IF('bono 10a esp'!Q7="","",(1+'bono 10a esp'!Q7)^('bono 10a esp'!Q$6)-1)</f>
        <v>0.77387421736696838</v>
      </c>
      <c r="O7">
        <f>+IF('bono 10a esp'!R7="","",(1+'bono 10a esp'!R7)^('bono 10a esp'!R$6)-1)</f>
        <v>0.86292270307879071</v>
      </c>
      <c r="P7">
        <f>+IF('bono 10a esp'!S7="","",(1+'bono 10a esp'!S7)^('bono 10a esp'!S$6)-1)</f>
        <v>0.96650120536997264</v>
      </c>
      <c r="Q7">
        <f>+IF('bono 10a esp'!T7="","",(1+'bono 10a esp'!T7)^('bono 10a esp'!T$6)-1)</f>
        <v>1.0477177051517521</v>
      </c>
      <c r="R7">
        <f>+IF('bono 10a esp'!U7="","",(1+'bono 10a esp'!U7)^('bono 10a esp'!U$6)-1)</f>
        <v>1.0808907319752072</v>
      </c>
      <c r="S7">
        <f>+IF('bono 10a esp'!V7="","",(1+'bono 10a esp'!V7)^('bono 10a esp'!V$6)-1)</f>
        <v>1.1179305870043685</v>
      </c>
      <c r="T7">
        <f>+IF('bono 10a esp'!W7="","",(1+'bono 10a esp'!W7)^('bono 10a esp'!W$6)-1)</f>
        <v>1.1467344429876238</v>
      </c>
      <c r="U7">
        <f>+IF('bono 10a esp'!X7="","",(1+'bono 10a esp'!X7)^('bono 10a esp'!X$6)-1)</f>
        <v>1.1739979704135632</v>
      </c>
    </row>
    <row r="8" spans="1:21" x14ac:dyDescent="0.3">
      <c r="A8">
        <f>+'bono 10a esp'!A8</f>
        <v>2000</v>
      </c>
      <c r="B8">
        <f>+IF('bono 10a esp'!E8="","",(1+'bono 10a esp'!E8)^('bono 10a esp'!E$6)-1)</f>
        <v>5.8300000000000018E-2</v>
      </c>
      <c r="C8">
        <f>+IF('bono 10a esp'!F8="","",(1+'bono 10a esp'!F8)^('bono 10a esp'!F$6)-1)</f>
        <v>0.11354326000000037</v>
      </c>
      <c r="D8">
        <f>+IF('bono 10a esp'!G8="","",(1+'bono 10a esp'!G8)^('bono 10a esp'!G$6)-1)</f>
        <v>0.17122480086799996</v>
      </c>
      <c r="E8">
        <f>+IF('bono 10a esp'!H8="","",(1+'bono 10a esp'!H8)^('bono 10a esp'!H$6)-1)</f>
        <v>0.22193883474558396</v>
      </c>
      <c r="F8">
        <f>+IF('bono 10a esp'!I8="","",(1+'bono 10a esp'!I8)^('bono 10a esp'!I$6)-1)</f>
        <v>0.2744822046396449</v>
      </c>
      <c r="G8">
        <f>+IF('bono 10a esp'!J8="","",(1+'bono 10a esp'!J8)^('bono 10a esp'!J$6)-1)</f>
        <v>0.32393211417966272</v>
      </c>
      <c r="H8">
        <f>+IF('bono 10a esp'!K8="","",(1+'bono 10a esp'!K8)^('bono 10a esp'!K$6)-1)</f>
        <v>0.36801905358184683</v>
      </c>
      <c r="I8">
        <f>+IF('bono 10a esp'!L8="","",(1+'bono 10a esp'!L8)^('bono 10a esp'!L$6)-1)</f>
        <v>0.42273981572511943</v>
      </c>
      <c r="J8">
        <f>+IF('bono 10a esp'!M8="","",(1+'bono 10a esp'!M8)^('bono 10a esp'!M$6)-1)</f>
        <v>0.48534036761702493</v>
      </c>
      <c r="K8">
        <f>+IF('bono 10a esp'!N8="","",(1+'bono 10a esp'!N8)^('bono 10a esp'!N$6)-1)</f>
        <v>0.54415984617465951</v>
      </c>
      <c r="L8">
        <f>+IF('bono 10a esp'!O8="","",(1+'bono 10a esp'!O8)^('bono 10a esp'!O$6)-1)</f>
        <v>0.60438208017546891</v>
      </c>
      <c r="M8">
        <f>+IF('bono 10a esp'!P8="","",(1+'bono 10a esp'!P8)^('bono 10a esp'!P$6)-1)</f>
        <v>0.691820903545034</v>
      </c>
      <c r="N8">
        <f>+IF('bono 10a esp'!Q8="","",(1+'bono 10a esp'!Q8)^('bono 10a esp'!Q$6)-1)</f>
        <v>0.77675031290299712</v>
      </c>
      <c r="O8">
        <f>+IF('bono 10a esp'!R8="","",(1+'bono 10a esp'!R8)^('bono 10a esp'!R$6)-1)</f>
        <v>0.87553763030039899</v>
      </c>
      <c r="P8">
        <f>+IF('bono 10a esp'!S8="","",(1+'bono 10a esp'!S8)^('bono 10a esp'!S$6)-1)</f>
        <v>0.95299733443181123</v>
      </c>
      <c r="Q8">
        <f>+IF('bono 10a esp'!T8="","",(1+'bono 10a esp'!T8)^('bono 10a esp'!T$6)-1)</f>
        <v>0.98463589124960227</v>
      </c>
      <c r="R8">
        <f>+IF('bono 10a esp'!U8="","",(1+'bono 10a esp'!U8)^('bono 10a esp'!U$6)-1)</f>
        <v>1.0199624101138451</v>
      </c>
      <c r="S8">
        <f>+IF('bono 10a esp'!V8="","",(1+'bono 10a esp'!V8)^('bono 10a esp'!V$6)-1)</f>
        <v>1.0474338988913958</v>
      </c>
      <c r="T8">
        <f>+IF('bono 10a esp'!W8="","",(1+'bono 10a esp'!W8)^('bono 10a esp'!W$6)-1)</f>
        <v>1.0734363094073132</v>
      </c>
      <c r="U8">
        <f>+IF('bono 10a esp'!X8="","",(1+'bono 10a esp'!X8)^('bono 10a esp'!X$6)-1)</f>
        <v>1.080550269384887</v>
      </c>
    </row>
    <row r="9" spans="1:21" x14ac:dyDescent="0.3">
      <c r="A9">
        <f>+'bono 10a esp'!A9</f>
        <v>2001</v>
      </c>
      <c r="B9">
        <f>+IF('bono 10a esp'!E9="","",(1+'bono 10a esp'!E9)^('bono 10a esp'!E$6)-1)</f>
        <v>5.2200000000000024E-2</v>
      </c>
      <c r="C9">
        <f>+IF('bono 10a esp'!F9="","",(1+'bono 10a esp'!F9)^('bono 10a esp'!F$6)-1)</f>
        <v>0.10670396000000038</v>
      </c>
      <c r="D9">
        <f>+IF('bono 10a esp'!G9="","",(1+'bono 10a esp'!G9)^('bono 10a esp'!G$6)-1)</f>
        <v>0.15462424146800036</v>
      </c>
      <c r="E9">
        <f>+IF('bono 10a esp'!H9="","",(1+'bono 10a esp'!H9)^('bono 10a esp'!H$6)-1)</f>
        <v>0.20427308385112442</v>
      </c>
      <c r="F9">
        <f>+IF('bono 10a esp'!I9="","",(1+'bono 10a esp'!I9)^('bono 10a esp'!I$6)-1)</f>
        <v>0.25099887950454769</v>
      </c>
      <c r="G9">
        <f>+IF('bono 10a esp'!J9="","",(1+'bono 10a esp'!J9)^('bono 10a esp'!J$6)-1)</f>
        <v>0.29265714219204964</v>
      </c>
      <c r="H9">
        <f>+IF('bono 10a esp'!K9="","",(1+'bono 10a esp'!K9)^('bono 10a esp'!K$6)-1)</f>
        <v>0.34436342787973073</v>
      </c>
      <c r="I9">
        <f>+IF('bono 10a esp'!L9="","",(1+'bono 10a esp'!L9)^('bono 10a esp'!L$6)-1)</f>
        <v>0.40351541870643959</v>
      </c>
      <c r="J9">
        <f>+IF('bono 10a esp'!M9="","",(1+'bono 10a esp'!M9)^('bono 10a esp'!M$6)-1)</f>
        <v>0.45909462928721534</v>
      </c>
      <c r="K9">
        <f>+IF('bono 10a esp'!N9="","",(1+'bono 10a esp'!N9)^('bono 10a esp'!N$6)-1)</f>
        <v>0.51599931982941416</v>
      </c>
      <c r="L9">
        <f>+IF('bono 10a esp'!O9="","",(1+'bono 10a esp'!O9)^('bono 10a esp'!O$6)-1)</f>
        <v>0.59862128276011783</v>
      </c>
      <c r="M9">
        <f>+IF('bono 10a esp'!P9="","",(1+'bono 10a esp'!P9)^('bono 10a esp'!P$6)-1)</f>
        <v>0.6788720711546754</v>
      </c>
      <c r="N9">
        <f>+IF('bono 10a esp'!Q9="","",(1+'bono 10a esp'!Q9)^('bono 10a esp'!Q$6)-1)</f>
        <v>0.7722173583108769</v>
      </c>
      <c r="O9">
        <f>+IF('bono 10a esp'!R9="","",(1+'bono 10a esp'!R9)^('bono 10a esp'!R$6)-1)</f>
        <v>0.84540993520911423</v>
      </c>
      <c r="P9">
        <f>+IF('bono 10a esp'!S9="","",(1+'bono 10a esp'!S9)^('bono 10a esp'!S$6)-1)</f>
        <v>0.87530557615950699</v>
      </c>
      <c r="Q9">
        <f>+IF('bono 10a esp'!T9="","",(1+'bono 10a esp'!T9)^('bono 10a esp'!T$6)-1)</f>
        <v>0.90868601541514105</v>
      </c>
      <c r="R9">
        <f>+IF('bono 10a esp'!U9="","",(1+'bono 10a esp'!U9)^('bono 10a esp'!U$6)-1)</f>
        <v>0.93464414522478556</v>
      </c>
      <c r="S9">
        <f>+IF('bono 10a esp'!V9="","",(1+'bono 10a esp'!V9)^('bono 10a esp'!V$6)-1)</f>
        <v>0.9592141258691429</v>
      </c>
      <c r="T9">
        <f>+IF('bono 10a esp'!W9="","",(1+'bono 10a esp'!W9)^('bono 10a esp'!W$6)-1)</f>
        <v>0.96593618953500182</v>
      </c>
      <c r="U9">
        <f>+IF('bono 10a esp'!X9="","",(1+'bono 10a esp'!X9)^('bono 10a esp'!X$6)-1)</f>
        <v>0.973406747055235</v>
      </c>
    </row>
    <row r="10" spans="1:21" x14ac:dyDescent="0.3">
      <c r="A10">
        <f>+'bono 10a esp'!A10</f>
        <v>2002</v>
      </c>
      <c r="B10">
        <f>+IF('bono 10a esp'!E10="","",(1+'bono 10a esp'!E10)^('bono 10a esp'!E$6)-1)</f>
        <v>5.1800000000000068E-2</v>
      </c>
      <c r="C10">
        <f>+IF('bono 10a esp'!F10="","",(1+'bono 10a esp'!F10)^('bono 10a esp'!F$6)-1)</f>
        <v>9.7342939999999656E-2</v>
      </c>
      <c r="D10">
        <f>+IF('bono 10a esp'!G10="","",(1+'bono 10a esp'!G10)^('bono 10a esp'!G$6)-1)</f>
        <v>0.14452868641999994</v>
      </c>
      <c r="E10">
        <f>+IF('bono 10a esp'!H10="","",(1+'bono 10a esp'!H10)^('bono 10a esp'!H$6)-1)</f>
        <v>0.18893639945309593</v>
      </c>
      <c r="F10">
        <f>+IF('bono 10a esp'!I10="","",(1+'bono 10a esp'!I10)^('bono 10a esp'!I$6)-1)</f>
        <v>0.22852798155488441</v>
      </c>
      <c r="G10">
        <f>+IF('bono 10a esp'!J10="","",(1+'bono 10a esp'!J10)^('bono 10a esp'!J$6)-1)</f>
        <v>0.27766910081707907</v>
      </c>
      <c r="H10">
        <f>+IF('bono 10a esp'!K10="","",(1+'bono 10a esp'!K10)^('bono 10a esp'!K$6)-1)</f>
        <v>0.33388654125302963</v>
      </c>
      <c r="I10">
        <f>+IF('bono 10a esp'!L10="","",(1+'bono 10a esp'!L10)^('bono 10a esp'!L$6)-1)</f>
        <v>0.38670844828665052</v>
      </c>
      <c r="J10">
        <f>+IF('bono 10a esp'!M10="","",(1+'bono 10a esp'!M10)^('bono 10a esp'!M$6)-1)</f>
        <v>0.44079007776982859</v>
      </c>
      <c r="K10">
        <f>+IF('bono 10a esp'!N10="","",(1+'bono 10a esp'!N10)^('bono 10a esp'!N$6)-1)</f>
        <v>0.51931313700828641</v>
      </c>
      <c r="L10">
        <f>+IF('bono 10a esp'!O10="","",(1+'bono 10a esp'!O10)^('bono 10a esp'!O$6)-1)</f>
        <v>0.5955826564861022</v>
      </c>
      <c r="M10">
        <f>+IF('bono 10a esp'!P10="","",(1+'bono 10a esp'!P10)^('bono 10a esp'!P$6)-1)</f>
        <v>0.6842970521867302</v>
      </c>
      <c r="N10">
        <f>+IF('bono 10a esp'!Q10="","",(1+'bono 10a esp'!Q10)^('bono 10a esp'!Q$6)-1)</f>
        <v>0.75385852044204249</v>
      </c>
      <c r="O10">
        <f>+IF('bono 10a esp'!R10="","",(1+'bono 10a esp'!R10)^('bono 10a esp'!R$6)-1)</f>
        <v>0.78227102847320396</v>
      </c>
      <c r="P10">
        <f>+IF('bono 10a esp'!S10="","",(1+'bono 10a esp'!S10)^('bono 10a esp'!S$6)-1)</f>
        <v>0.81399545278002461</v>
      </c>
      <c r="Q10">
        <f>+IF('bono 10a esp'!T10="","",(1+'bono 10a esp'!T10)^('bono 10a esp'!T$6)-1)</f>
        <v>0.83866579093783189</v>
      </c>
      <c r="R10">
        <f>+IF('bono 10a esp'!U10="","",(1+'bono 10a esp'!U10)^('bono 10a esp'!U$6)-1)</f>
        <v>0.86201684648274202</v>
      </c>
      <c r="S10">
        <f>+IF('bono 10a esp'!V10="","",(1+'bono 10a esp'!V10)^('bono 10a esp'!V$6)-1)</f>
        <v>0.86840542628302941</v>
      </c>
      <c r="T10">
        <f>+IF('bono 10a esp'!W10="","",(1+'bono 10a esp'!W10)^('bono 10a esp'!W$6)-1)</f>
        <v>0.87550536690290448</v>
      </c>
      <c r="U10">
        <f>+IF('bono 10a esp'!X10="","",(1+'bono 10a esp'!X10)^('bono 10a esp'!X$6)-1)</f>
        <v>0.88206963568706453</v>
      </c>
    </row>
    <row r="11" spans="1:21" x14ac:dyDescent="0.3">
      <c r="A11">
        <f>+'bono 10a esp'!A11</f>
        <v>2003</v>
      </c>
      <c r="B11">
        <f>+IF('bono 10a esp'!E11="","",(1+'bono 10a esp'!E11)^('bono 10a esp'!E$6)-1)</f>
        <v>4.3299999999999894E-2</v>
      </c>
      <c r="C11">
        <f>+IF('bono 10a esp'!F11="","",(1+'bono 10a esp'!F11)^('bono 10a esp'!F$6)-1)</f>
        <v>8.8161899999999571E-2</v>
      </c>
      <c r="D11">
        <f>+IF('bono 10a esp'!G11="","",(1+'bono 10a esp'!G11)^('bono 10a esp'!G$6)-1)</f>
        <v>0.13038258171999928</v>
      </c>
      <c r="E11">
        <f>+IF('bono 10a esp'!H11="","",(1+'bono 10a esp'!H11)^('bono 10a esp'!H$6)-1)</f>
        <v>0.16802432169127579</v>
      </c>
      <c r="F11">
        <f>+IF('bono 10a esp'!I11="","",(1+'bono 10a esp'!I11)^('bono 10a esp'!I$6)-1)</f>
        <v>0.21474529455892677</v>
      </c>
      <c r="G11">
        <f>+IF('bono 10a esp'!J11="","",(1+'bono 10a esp'!J11)^('bono 10a esp'!J$6)-1)</f>
        <v>0.26819408751952012</v>
      </c>
      <c r="H11">
        <f>+IF('bono 10a esp'!K11="","",(1+'bono 10a esp'!K11)^('bono 10a esp'!K$6)-1)</f>
        <v>0.31841457338529211</v>
      </c>
      <c r="I11">
        <f>+IF('bono 10a esp'!L11="","",(1+'bono 10a esp'!L11)^('bono 10a esp'!L$6)-1)</f>
        <v>0.36983274174731817</v>
      </c>
      <c r="J11">
        <f>+IF('bono 10a esp'!M11="","",(1+'bono 10a esp'!M11)^('bono 10a esp'!M$6)-1)</f>
        <v>0.44448862617254781</v>
      </c>
      <c r="K11">
        <f>+IF('bono 10a esp'!N11="","",(1+'bono 10a esp'!N11)^('bono 10a esp'!N$6)-1)</f>
        <v>0.51700195520641157</v>
      </c>
      <c r="L11">
        <f>+IF('bono 10a esp'!O11="","",(1+'bono 10a esp'!O11)^('bono 10a esp'!O$6)-1)</f>
        <v>0.60134726391588478</v>
      </c>
      <c r="M11">
        <f>+IF('bono 10a esp'!P11="","",(1+'bono 10a esp'!P11)^('bono 10a esp'!P$6)-1)</f>
        <v>0.66748290591561199</v>
      </c>
      <c r="N11">
        <f>+IF('bono 10a esp'!Q11="","",(1+'bono 10a esp'!Q11)^('bono 10a esp'!Q$6)-1)</f>
        <v>0.69449612899144708</v>
      </c>
      <c r="O11">
        <f>+IF('bono 10a esp'!R11="","",(1+'bono 10a esp'!R11)^('bono 10a esp'!R$6)-1)</f>
        <v>0.72465816008749639</v>
      </c>
      <c r="P11">
        <f>+IF('bono 10a esp'!S11="","",(1+'bono 10a esp'!S11)^('bono 10a esp'!S$6)-1)</f>
        <v>0.74811351106468349</v>
      </c>
      <c r="Q11">
        <f>+IF('bono 10a esp'!T11="","",(1+'bono 10a esp'!T11)^('bono 10a esp'!T$6)-1)</f>
        <v>0.77031455265520066</v>
      </c>
      <c r="R11">
        <f>+IF('bono 10a esp'!U11="","",(1+'bono 10a esp'!U11)^('bono 10a esp'!U$6)-1)</f>
        <v>0.77638850188536601</v>
      </c>
      <c r="S11">
        <f>+IF('bono 10a esp'!V11="","",(1+'bono 10a esp'!V11)^('bono 10a esp'!V$6)-1)</f>
        <v>0.7831387781925272</v>
      </c>
      <c r="T11">
        <f>+IF('bono 10a esp'!W11="","",(1+'bono 10a esp'!W11)^('bono 10a esp'!W$6)-1)</f>
        <v>0.7893797639162039</v>
      </c>
      <c r="U11">
        <f>+IF('bono 10a esp'!X11="","",(1+'bono 10a esp'!X11)^('bono 10a esp'!X$6)-1)</f>
        <v>0.82874611872235593</v>
      </c>
    </row>
    <row r="12" spans="1:21" x14ac:dyDescent="0.3">
      <c r="A12">
        <f>+'bono 10a esp'!A12</f>
        <v>2004</v>
      </c>
      <c r="B12">
        <f>+IF('bono 10a esp'!E12="","",(1+'bono 10a esp'!E12)^('bono 10a esp'!E$6)-1)</f>
        <v>4.2999999999999927E-2</v>
      </c>
      <c r="C12">
        <f>+IF('bono 10a esp'!F12="","",(1+'bono 10a esp'!F12)^('bono 10a esp'!F$6)-1)</f>
        <v>8.3468399999999665E-2</v>
      </c>
      <c r="D12">
        <f>+IF('bono 10a esp'!G12="","",(1+'bono 10a esp'!G12)^('bono 10a esp'!G$6)-1)</f>
        <v>0.11954789772000041</v>
      </c>
      <c r="E12">
        <f>+IF('bono 10a esp'!H12="","",(1+'bono 10a esp'!H12)^('bono 10a esp'!H$6)-1)</f>
        <v>0.16432981362879939</v>
      </c>
      <c r="F12">
        <f>+IF('bono 10a esp'!I12="","",(1+'bono 10a esp'!I12)^('bono 10a esp'!I$6)-1)</f>
        <v>0.2155603254284677</v>
      </c>
      <c r="G12">
        <f>+IF('bono 10a esp'!J12="","",(1+'bono 10a esp'!J12)^('bono 10a esp'!J$6)-1)</f>
        <v>0.26369651431543484</v>
      </c>
      <c r="H12">
        <f>+IF('bono 10a esp'!K12="","",(1+'bono 10a esp'!K12)^('bono 10a esp'!K$6)-1)</f>
        <v>0.31298067837373678</v>
      </c>
      <c r="I12">
        <f>+IF('bono 10a esp'!L12="","",(1+'bono 10a esp'!L12)^('bono 10a esp'!L$6)-1)</f>
        <v>0.38453812534510456</v>
      </c>
      <c r="J12">
        <f>+IF('bono 10a esp'!M12="","",(1+'bono 10a esp'!M12)^('bono 10a esp'!M$6)-1)</f>
        <v>0.45404193923742953</v>
      </c>
      <c r="K12">
        <f>+IF('bono 10a esp'!N12="","",(1+'bono 10a esp'!N12)^('bono 10a esp'!N$6)-1)</f>
        <v>0.53488667105903231</v>
      </c>
      <c r="L12">
        <f>+IF('bono 10a esp'!O12="","",(1+'bono 10a esp'!O12)^('bono 10a esp'!O$6)-1)</f>
        <v>0.598277490573768</v>
      </c>
      <c r="M12">
        <f>+IF('bono 10a esp'!P12="","",(1+'bono 10a esp'!P12)^('bono 10a esp'!P$6)-1)</f>
        <v>0.62416958592106431</v>
      </c>
      <c r="N12">
        <f>+IF('bono 10a esp'!Q12="","",(1+'bono 10a esp'!Q12)^('bono 10a esp'!Q$6)-1)</f>
        <v>0.65307980455045866</v>
      </c>
      <c r="O12">
        <f>+IF('bono 10a esp'!R12="","",(1+'bono 10a esp'!R12)^('bono 10a esp'!R$6)-1)</f>
        <v>0.67556168989234733</v>
      </c>
      <c r="P12">
        <f>+IF('bono 10a esp'!S12="","",(1+'bono 10a esp'!S12)^('bono 10a esp'!S$6)-1)</f>
        <v>0.69684132335398052</v>
      </c>
      <c r="Q12">
        <f>+IF('bono 10a esp'!T12="","",(1+'bono 10a esp'!T12)^('bono 10a esp'!T$6)-1)</f>
        <v>0.7026631859344088</v>
      </c>
      <c r="R12">
        <f>+IF('bono 10a esp'!U12="","",(1+'bono 10a esp'!U12)^('bono 10a esp'!U$6)-1)</f>
        <v>0.70913330604095348</v>
      </c>
      <c r="S12">
        <f>+IF('bono 10a esp'!V12="","",(1+'bono 10a esp'!V12)^('bono 10a esp'!V$6)-1)</f>
        <v>0.71511527261210306</v>
      </c>
      <c r="T12">
        <f>+IF('bono 10a esp'!W12="","",(1+'bono 10a esp'!W12)^('bono 10a esp'!W$6)-1)</f>
        <v>0.75284780860956313</v>
      </c>
      <c r="U12">
        <f>+IF('bono 10a esp'!X12="","",(1+'bono 10a esp'!X12)^('bono 10a esp'!X$6)-1)</f>
        <v>0.81402219713004009</v>
      </c>
    </row>
    <row r="13" spans="1:21" x14ac:dyDescent="0.3">
      <c r="A13">
        <f>+'bono 10a esp'!A13</f>
        <v>2005</v>
      </c>
      <c r="B13">
        <f>+IF('bono 10a esp'!E13="","",(1+'bono 10a esp'!E13)^('bono 10a esp'!E$6)-1)</f>
        <v>3.8799999999999946E-2</v>
      </c>
      <c r="C13">
        <f>+IF('bono 10a esp'!F13="","",(1+'bono 10a esp'!F13)^('bono 10a esp'!F$6)-1)</f>
        <v>7.3392040000000103E-2</v>
      </c>
      <c r="D13">
        <f>+IF('bono 10a esp'!G13="","",(1+'bono 10a esp'!G13)^('bono 10a esp'!G$6)-1)</f>
        <v>0.11632772160000004</v>
      </c>
      <c r="E13">
        <f>+IF('bono 10a esp'!H13="","",(1+'bono 10a esp'!H13)^('bono 10a esp'!H$6)-1)</f>
        <v>0.16544614135040003</v>
      </c>
      <c r="F13">
        <f>+IF('bono 10a esp'!I13="","",(1+'bono 10a esp'!I13)^('bono 10a esp'!I$6)-1)</f>
        <v>0.21159780854787535</v>
      </c>
      <c r="G13">
        <f>+IF('bono 10a esp'!J13="","",(1+'bono 10a esp'!J13)^('bono 10a esp'!J$6)-1)</f>
        <v>0.258850123081243</v>
      </c>
      <c r="H13">
        <f>+IF('bono 10a esp'!K13="","",(1+'bono 10a esp'!K13)^('bono 10a esp'!K$6)-1)</f>
        <v>0.32745745478917043</v>
      </c>
      <c r="I13">
        <f>+IF('bono 10a esp'!L13="","",(1+'bono 10a esp'!L13)^('bono 10a esp'!L$6)-1)</f>
        <v>0.39409581901958601</v>
      </c>
      <c r="J13">
        <f>+IF('bono 10a esp'!M13="","",(1+'bono 10a esp'!M13)^('bono 10a esp'!M$6)-1)</f>
        <v>0.47160754655707771</v>
      </c>
      <c r="K13">
        <f>+IF('bono 10a esp'!N13="","",(1+'bono 10a esp'!N13)^('bono 10a esp'!N$6)-1)</f>
        <v>0.53238493822988553</v>
      </c>
      <c r="L13">
        <f>+IF('bono 10a esp'!O13="","",(1+'bono 10a esp'!O13)^('bono 10a esp'!O$6)-1)</f>
        <v>0.55720957422920558</v>
      </c>
      <c r="M13">
        <f>+IF('bono 10a esp'!P13="","",(1+'bono 10a esp'!P13)^('bono 10a esp'!P$6)-1)</f>
        <v>0.58492790465048783</v>
      </c>
      <c r="N13">
        <f>+IF('bono 10a esp'!Q13="","",(1+'bono 10a esp'!Q13)^('bono 10a esp'!Q$6)-1)</f>
        <v>0.60648292415373484</v>
      </c>
      <c r="O13">
        <f>+IF('bono 10a esp'!R13="","",(1+'bono 10a esp'!R13)^('bono 10a esp'!R$6)-1)</f>
        <v>0.62688525729048794</v>
      </c>
      <c r="P13">
        <f>+IF('bono 10a esp'!S13="","",(1+'bono 10a esp'!S13)^('bono 10a esp'!S$6)-1)</f>
        <v>0.63246710060825095</v>
      </c>
      <c r="Q13">
        <f>+IF('bono 10a esp'!T13="","",(1+'bono 10a esp'!T13)^('bono 10a esp'!T$6)-1)</f>
        <v>0.63867047559055923</v>
      </c>
      <c r="R13">
        <f>+IF('bono 10a esp'!U13="","",(1+'bono 10a esp'!U13)^('bono 10a esp'!U$6)-1)</f>
        <v>0.64440582225512988</v>
      </c>
      <c r="S13">
        <f>+IF('bono 10a esp'!V13="","",(1+'bono 10a esp'!V13)^('bono 10a esp'!V$6)-1)</f>
        <v>0.68058275034474036</v>
      </c>
      <c r="T13">
        <f>+IF('bono 10a esp'!W13="","",(1+'bono 10a esp'!W13)^('bono 10a esp'!W$6)-1)</f>
        <v>0.73923508833177265</v>
      </c>
      <c r="U13">
        <f>+IF('bono 10a esp'!X13="","",(1+'bono 10a esp'!X13)^('bono 10a esp'!X$6)-1)</f>
        <v>0.79402099361422573</v>
      </c>
    </row>
    <row r="14" spans="1:21" x14ac:dyDescent="0.3">
      <c r="A14">
        <f>+'bono 10a esp'!A14</f>
        <v>2006</v>
      </c>
      <c r="B14">
        <f>+IF('bono 10a esp'!E14="","",(1+'bono 10a esp'!E14)^('bono 10a esp'!E$6)-1)</f>
        <v>3.3300000000000107E-2</v>
      </c>
      <c r="C14">
        <f>+IF('bono 10a esp'!F14="","",(1+'bono 10a esp'!F14)^('bono 10a esp'!F$6)-1)</f>
        <v>7.4632000000000254E-2</v>
      </c>
      <c r="D14">
        <f>+IF('bono 10a esp'!G14="","",(1+'bono 10a esp'!G14)^('bono 10a esp'!G$6)-1)</f>
        <v>0.12191580800000001</v>
      </c>
      <c r="E14">
        <f>+IF('bono 10a esp'!H14="","",(1+'bono 10a esp'!H14)^('bono 10a esp'!H$6)-1)</f>
        <v>0.16634367399680006</v>
      </c>
      <c r="F14">
        <f>+IF('bono 10a esp'!I14="","",(1+'bono 10a esp'!I14)^('bono 10a esp'!I$6)-1)</f>
        <v>0.21183107728267569</v>
      </c>
      <c r="G14">
        <f>+IF('bono 10a esp'!J14="","",(1+'bono 10a esp'!J14)^('bono 10a esp'!J$6)-1)</f>
        <v>0.277875870994581</v>
      </c>
      <c r="H14">
        <f>+IF('bono 10a esp'!K14="","",(1+'bono 10a esp'!K14)^('bono 10a esp'!K$6)-1)</f>
        <v>0.34202523971850951</v>
      </c>
      <c r="I14">
        <f>+IF('bono 10a esp'!L14="","",(1+'bono 10a esp'!L14)^('bono 10a esp'!L$6)-1)</f>
        <v>0.41664184304686014</v>
      </c>
      <c r="J14">
        <f>+IF('bono 10a esp'!M14="","",(1+'bono 10a esp'!M14)^('bono 10a esp'!M$6)-1)</f>
        <v>0.47514915116469236</v>
      </c>
      <c r="K14">
        <f>+IF('bono 10a esp'!N14="","",(1+'bono 10a esp'!N14)^('bono 10a esp'!N$6)-1)</f>
        <v>0.49904656741356268</v>
      </c>
      <c r="L14">
        <f>+IF('bono 10a esp'!O14="","",(1+'bono 10a esp'!O14)^('bono 10a esp'!O$6)-1)</f>
        <v>0.52572959631352201</v>
      </c>
      <c r="M14">
        <f>+IF('bono 10a esp'!P14="","",(1+'bono 10a esp'!P14)^('bono 10a esp'!P$6)-1)</f>
        <v>0.54647951882338686</v>
      </c>
      <c r="N14">
        <f>+IF('bono 10a esp'!Q14="","",(1+'bono 10a esp'!Q14)^('bono 10a esp'!Q$6)-1)</f>
        <v>0.56611980871244572</v>
      </c>
      <c r="O14">
        <f>+IF('bono 10a esp'!R14="","",(1+'bono 10a esp'!R14)^('bono 10a esp'!R$6)-1)</f>
        <v>0.57149316577613751</v>
      </c>
      <c r="P14">
        <f>+IF('bono 10a esp'!S14="","",(1+'bono 10a esp'!S14)^('bono 10a esp'!S$6)-1)</f>
        <v>0.57746483980608709</v>
      </c>
      <c r="Q14">
        <f>+IF('bono 10a esp'!T14="","",(1+'bono 10a esp'!T14)^('bono 10a esp'!T$6)-1)</f>
        <v>0.58298596674540315</v>
      </c>
      <c r="R14">
        <f>+IF('bono 10a esp'!U14="","",(1+'bono 10a esp'!U14)^('bono 10a esp'!U$6)-1)</f>
        <v>0.617811658013802</v>
      </c>
      <c r="S14">
        <f>+IF('bono 10a esp'!V14="","",(1+'bono 10a esp'!V14)^('bono 10a esp'!V$6)-1)</f>
        <v>0.67427328487848825</v>
      </c>
      <c r="T14">
        <f>+IF('bono 10a esp'!W14="","",(1+'bono 10a esp'!W14)^('bono 10a esp'!W$6)-1)</f>
        <v>0.7270128933521629</v>
      </c>
      <c r="U14">
        <f>+IF('bono 10a esp'!X14="","",(1+'bono 10a esp'!X14)^('bono 10a esp'!X$6)-1)</f>
        <v>0.78262270851810034</v>
      </c>
    </row>
    <row r="15" spans="1:21" x14ac:dyDescent="0.3">
      <c r="A15">
        <f>+'bono 10a esp'!A15</f>
        <v>2007</v>
      </c>
      <c r="B15">
        <f>+IF('bono 10a esp'!E15="","",(1+'bono 10a esp'!E15)^('bono 10a esp'!E$6)-1)</f>
        <v>4.0000000000000036E-2</v>
      </c>
      <c r="C15">
        <f>+IF('bono 10a esp'!F15="","",(1+'bono 10a esp'!F15)^('bono 10a esp'!F$6)-1)</f>
        <v>8.5759999999999836E-2</v>
      </c>
      <c r="D15">
        <f>+IF('bono 10a esp'!G15="","",(1+'bono 10a esp'!G15)^('bono 10a esp'!G$6)-1)</f>
        <v>0.12875609599999982</v>
      </c>
      <c r="E15">
        <f>+IF('bono 10a esp'!H15="","",(1+'bono 10a esp'!H15)^('bono 10a esp'!H$6)-1)</f>
        <v>0.17277758374400021</v>
      </c>
      <c r="F15">
        <f>+IF('bono 10a esp'!I15="","",(1+'bono 10a esp'!I15)^('bono 10a esp'!I$6)-1)</f>
        <v>0.23669396205804838</v>
      </c>
      <c r="G15">
        <f>+IF('bono 10a esp'!J15="","",(1+'bono 10a esp'!J15)^('bono 10a esp'!J$6)-1)</f>
        <v>0.29877599895336204</v>
      </c>
      <c r="H15">
        <f>+IF('bono 10a esp'!K15="","",(1+'bono 10a esp'!K15)^('bono 10a esp'!K$6)-1)</f>
        <v>0.37098794449516914</v>
      </c>
      <c r="I15">
        <f>+IF('bono 10a esp'!L15="","",(1+'bono 10a esp'!L15)^('bono 10a esp'!L$6)-1)</f>
        <v>0.42760974660281925</v>
      </c>
      <c r="J15">
        <f>+IF('bono 10a esp'!M15="","",(1+'bono 10a esp'!M15)^('bono 10a esp'!M$6)-1)</f>
        <v>0.45073702449778441</v>
      </c>
      <c r="K15">
        <f>+IF('bono 10a esp'!N15="","",(1+'bono 10a esp'!N15)^('bono 10a esp'!N$6)-1)</f>
        <v>0.4765601435338449</v>
      </c>
      <c r="L15">
        <f>+IF('bono 10a esp'!O15="","",(1+'bono 10a esp'!O15)^('bono 10a esp'!O$6)-1)</f>
        <v>0.4966413614859071</v>
      </c>
      <c r="M15">
        <f>+IF('bono 10a esp'!P15="","",(1+'bono 10a esp'!P15)^('bono 10a esp'!P$6)-1)</f>
        <v>0.51564870677677677</v>
      </c>
      <c r="N15">
        <f>+IF('bono 10a esp'!Q15="","",(1+'bono 10a esp'!Q15)^('bono 10a esp'!Q$6)-1)</f>
        <v>0.52084889748972829</v>
      </c>
      <c r="O15">
        <f>+IF('bono 10a esp'!R15="","",(1+'bono 10a esp'!R15)^('bono 10a esp'!R$6)-1)</f>
        <v>0.52662812330018949</v>
      </c>
      <c r="P15">
        <f>+IF('bono 10a esp'!S15="","",(1+'bono 10a esp'!S15)^('bono 10a esp'!S$6)-1)</f>
        <v>0.53197132173174033</v>
      </c>
      <c r="Q15">
        <f>+IF('bono 10a esp'!T15="","",(1+'bono 10a esp'!T15)^('bono 10a esp'!T$6)-1)</f>
        <v>0.5656746908098409</v>
      </c>
      <c r="R15">
        <f>+IF('bono 10a esp'!U15="","",(1+'bono 10a esp'!U15)^('bono 10a esp'!U$6)-1)</f>
        <v>0.62031673751909877</v>
      </c>
      <c r="S15">
        <f>+IF('bono 10a esp'!V15="","",(1+'bono 10a esp'!V15)^('bono 10a esp'!V$6)-1)</f>
        <v>0.67135671475095204</v>
      </c>
      <c r="T15">
        <f>+IF('bono 10a esp'!W15="","",(1+'bono 10a esp'!W15)^('bono 10a esp'!W$6)-1)</f>
        <v>0.72517440096592933</v>
      </c>
      <c r="U15" t="str">
        <f>+IF('bono 10a esp'!X15="","",(1+'bono 10a esp'!X15)^('bono 10a esp'!X$6)-1)</f>
        <v/>
      </c>
    </row>
    <row r="16" spans="1:21" x14ac:dyDescent="0.3">
      <c r="A16">
        <f>+'bono 10a esp'!A16</f>
        <v>2008</v>
      </c>
      <c r="B16">
        <f>+IF('bono 10a esp'!E16="","",(1+'bono 10a esp'!E16)^('bono 10a esp'!E$6)-1)</f>
        <v>4.4000000000000039E-2</v>
      </c>
      <c r="C16">
        <f>+IF('bono 10a esp'!F16="","",(1+'bono 10a esp'!F16)^('bono 10a esp'!F$6)-1)</f>
        <v>8.534240000000004E-2</v>
      </c>
      <c r="D16">
        <f>+IF('bono 10a esp'!G16="","",(1+'bono 10a esp'!G16)^('bono 10a esp'!G$6)-1)</f>
        <v>0.12767075359999969</v>
      </c>
      <c r="E16">
        <f>+IF('bono 10a esp'!H16="","",(1+'bono 10a esp'!H16)^('bono 10a esp'!H$6)-1)</f>
        <v>0.18912880967120027</v>
      </c>
      <c r="F16">
        <f>+IF('bono 10a esp'!I16="","",(1+'bono 10a esp'!I16)^('bono 10a esp'!I$6)-1)</f>
        <v>0.24882307591669384</v>
      </c>
      <c r="G16">
        <f>+IF('bono 10a esp'!J16="","",(1+'bono 10a esp'!J16)^('bono 10a esp'!J$6)-1)</f>
        <v>0.3182576389376619</v>
      </c>
      <c r="H16">
        <f>+IF('bono 10a esp'!K16="","",(1+'bono 10a esp'!K16)^('bono 10a esp'!K$6)-1)</f>
        <v>0.37270167942578869</v>
      </c>
      <c r="I16">
        <f>+IF('bono 10a esp'!L16="","",(1+'bono 10a esp'!L16)^('bono 10a esp'!L$6)-1)</f>
        <v>0.39493944663248493</v>
      </c>
      <c r="J16">
        <f>+IF('bono 10a esp'!M16="","",(1+'bono 10a esp'!M16)^('bono 10a esp'!M$6)-1)</f>
        <v>0.41976936878254389</v>
      </c>
      <c r="K16">
        <f>+IF('bono 10a esp'!N16="","",(1+'bono 10a esp'!N16)^('bono 10a esp'!N$6)-1)</f>
        <v>0.4390782321979867</v>
      </c>
      <c r="L16">
        <f>+IF('bono 10a esp'!O16="","",(1+'bono 10a esp'!O16)^('bono 10a esp'!O$6)-1)</f>
        <v>0.4573545257469025</v>
      </c>
      <c r="M16">
        <f>+IF('bono 10a esp'!P16="","",(1+'bono 10a esp'!P16)^('bono 10a esp'!P$6)-1)</f>
        <v>0.46235470912473664</v>
      </c>
      <c r="N16">
        <f>+IF('bono 10a esp'!Q16="","",(1+'bono 10a esp'!Q16)^('bono 10a esp'!Q$6)-1)</f>
        <v>0.46791165701941129</v>
      </c>
      <c r="O16">
        <f>+IF('bono 10a esp'!R16="","",(1+'bono 10a esp'!R16)^('bono 10a esp'!R$6)-1)</f>
        <v>0.47304934781898145</v>
      </c>
      <c r="P16">
        <f>+IF('bono 10a esp'!S16="","",(1+'bono 10a esp'!S16)^('bono 10a esp'!S$6)-1)</f>
        <v>0.50545643347099767</v>
      </c>
      <c r="Q16">
        <f>+IF('bono 10a esp'!T16="","",(1+'bono 10a esp'!T16)^('bono 10a esp'!T$6)-1)</f>
        <v>0.55799686299913409</v>
      </c>
      <c r="R16">
        <f>+IF('bono 10a esp'!U16="","",(1+'bono 10a esp'!U16)^('bono 10a esp'!U$6)-1)</f>
        <v>0.60707376418360814</v>
      </c>
      <c r="S16">
        <f>+IF('bono 10a esp'!V16="","",(1+'bono 10a esp'!V16)^('bono 10a esp'!V$6)-1)</f>
        <v>0.65882153939032273</v>
      </c>
      <c r="T16" t="str">
        <f>+IF('bono 10a esp'!W16="","",(1+'bono 10a esp'!W16)^('bono 10a esp'!W$6)-1)</f>
        <v/>
      </c>
      <c r="U16" t="str">
        <f>+IF('bono 10a esp'!X16="","",(1+'bono 10a esp'!X16)^('bono 10a esp'!X$6)-1)</f>
        <v/>
      </c>
    </row>
    <row r="17" spans="1:21" x14ac:dyDescent="0.3">
      <c r="A17">
        <f>+'bono 10a esp'!A17</f>
        <v>2009</v>
      </c>
      <c r="B17">
        <f>+IF('bono 10a esp'!E17="","",(1+'bono 10a esp'!E17)^('bono 10a esp'!E$6)-1)</f>
        <v>3.960000000000008E-2</v>
      </c>
      <c r="C17">
        <f>+IF('bono 10a esp'!F17="","",(1+'bono 10a esp'!F17)^('bono 10a esp'!F$6)-1)</f>
        <v>8.0144400000000005E-2</v>
      </c>
      <c r="D17">
        <f>+IF('bono 10a esp'!G17="","",(1+'bono 10a esp'!G17)^('bono 10a esp'!G$6)-1)</f>
        <v>0.13901226980000048</v>
      </c>
      <c r="E17">
        <f>+IF('bono 10a esp'!H17="","",(1+'bono 10a esp'!H17)^('bono 10a esp'!H$6)-1)</f>
        <v>0.19619068574396015</v>
      </c>
      <c r="F17">
        <f>+IF('bono 10a esp'!I17="","",(1+'bono 10a esp'!I17)^('bono 10a esp'!I$6)-1)</f>
        <v>0.26269888787132434</v>
      </c>
      <c r="G17">
        <f>+IF('bono 10a esp'!J17="","",(1+'bono 10a esp'!J17)^('bono 10a esp'!J$6)-1)</f>
        <v>0.31484835194040972</v>
      </c>
      <c r="H17">
        <f>+IF('bono 10a esp'!K17="","",(1+'bono 10a esp'!K17)^('bono 10a esp'!K$6)-1)</f>
        <v>0.33614889524184544</v>
      </c>
      <c r="I17">
        <f>+IF('bono 10a esp'!L17="","",(1+'bono 10a esp'!L17)^('bono 10a esp'!L$6)-1)</f>
        <v>0.35993234557715037</v>
      </c>
      <c r="J17">
        <f>+IF('bono 10a esp'!M17="","",(1+'bono 10a esp'!M17)^('bono 10a esp'!M$6)-1)</f>
        <v>0.37842742547699948</v>
      </c>
      <c r="K17">
        <f>+IF('bono 10a esp'!N17="","",(1+'bono 10a esp'!N17)^('bono 10a esp'!N$6)-1)</f>
        <v>0.39593345378055722</v>
      </c>
      <c r="L17">
        <f>+IF('bono 10a esp'!O17="","",(1+'bono 10a esp'!O17)^('bono 10a esp'!O$6)-1)</f>
        <v>0.40072290146047762</v>
      </c>
      <c r="M17">
        <f>+IF('bono 10a esp'!P17="","",(1+'bono 10a esp'!P17)^('bono 10a esp'!P$6)-1)</f>
        <v>0.40604564848602864</v>
      </c>
      <c r="N17">
        <f>+IF('bono 10a esp'!Q17="","",(1+'bono 10a esp'!Q17)^('bono 10a esp'!Q$6)-1)</f>
        <v>0.41096680825572918</v>
      </c>
      <c r="O17">
        <f>+IF('bono 10a esp'!R17="","",(1+'bono 10a esp'!R17)^('bono 10a esp'!R$6)-1)</f>
        <v>0.44200807803735565</v>
      </c>
      <c r="P17">
        <f>+IF('bono 10a esp'!S17="","",(1+'bono 10a esp'!S17)^('bono 10a esp'!S$6)-1)</f>
        <v>0.49233415996085905</v>
      </c>
      <c r="Q17">
        <f>+IF('bono 10a esp'!T17="","",(1+'bono 10a esp'!T17)^('bono 10a esp'!T$6)-1)</f>
        <v>0.53934268599962421</v>
      </c>
      <c r="R17">
        <f>+IF('bono 10a esp'!U17="","",(1+'bono 10a esp'!U17)^('bono 10a esp'!U$6)-1)</f>
        <v>0.58890952048881062</v>
      </c>
      <c r="S17" t="str">
        <f>+IF('bono 10a esp'!V17="","",(1+'bono 10a esp'!V17)^('bono 10a esp'!V$6)-1)</f>
        <v/>
      </c>
      <c r="T17" t="str">
        <f>+IF('bono 10a esp'!W17="","",(1+'bono 10a esp'!W17)^('bono 10a esp'!W$6)-1)</f>
        <v/>
      </c>
      <c r="U17" t="str">
        <f>+IF('bono 10a esp'!X17="","",(1+'bono 10a esp'!X17)^('bono 10a esp'!X$6)-1)</f>
        <v/>
      </c>
    </row>
    <row r="18" spans="1:21" x14ac:dyDescent="0.3">
      <c r="A18">
        <f>+'bono 10a esp'!A18</f>
        <v>2010</v>
      </c>
      <c r="B18">
        <f>+IF('bono 10a esp'!E18="","",(1+'bono 10a esp'!E18)^('bono 10a esp'!E$6)-1)</f>
        <v>3.8999999999999924E-2</v>
      </c>
      <c r="C18">
        <f>+IF('bono 10a esp'!F18="","",(1+'bono 10a esp'!F18)^('bono 10a esp'!F$6)-1)</f>
        <v>9.5625499999999919E-2</v>
      </c>
      <c r="D18">
        <f>+IF('bono 10a esp'!G18="","",(1+'bono 10a esp'!G18)^('bono 10a esp'!G$6)-1)</f>
        <v>0.15062590009999988</v>
      </c>
      <c r="E18">
        <f>+IF('bono 10a esp'!H18="","",(1+'bono 10a esp'!H18)^('bono 10a esp'!H$6)-1)</f>
        <v>0.21460070014555921</v>
      </c>
      <c r="F18">
        <f>+IF('bono 10a esp'!I18="","",(1+'bono 10a esp'!I18)^('bono 10a esp'!I$6)-1)</f>
        <v>0.26476370906157176</v>
      </c>
      <c r="G18">
        <f>+IF('bono 10a esp'!J18="","",(1+'bono 10a esp'!J18)^('bono 10a esp'!J$6)-1)</f>
        <v>0.28525288114836989</v>
      </c>
      <c r="H18">
        <f>+IF('bono 10a esp'!K18="","",(1+'bono 10a esp'!K18)^('bono 10a esp'!K$6)-1)</f>
        <v>0.30813038243280988</v>
      </c>
      <c r="I18">
        <f>+IF('bono 10a esp'!L18="","",(1+'bono 10a esp'!L18)^('bono 10a esp'!L$6)-1)</f>
        <v>0.32592095563389711</v>
      </c>
      <c r="J18">
        <f>+IF('bono 10a esp'!M18="","",(1+'bono 10a esp'!M18)^('bono 10a esp'!M$6)-1)</f>
        <v>0.34276015177044572</v>
      </c>
      <c r="K18">
        <f>+IF('bono 10a esp'!N18="","",(1+'bono 10a esp'!N18)^('bono 10a esp'!N$6)-1)</f>
        <v>0.34736716185117045</v>
      </c>
      <c r="L18">
        <f>+IF('bono 10a esp'!O18="","",(1+'bono 10a esp'!O18)^('bono 10a esp'!O$6)-1)</f>
        <v>0.35248715706620604</v>
      </c>
      <c r="M18">
        <f>+IF('bono 10a esp'!P18="","",(1+'bono 10a esp'!P18)^('bono 10a esp'!P$6)-1)</f>
        <v>0.35722086211593562</v>
      </c>
      <c r="N18">
        <f>+IF('bono 10a esp'!Q18="","",(1+'bono 10a esp'!Q18)^('bono 10a esp'!Q$6)-1)</f>
        <v>0.38707972108248967</v>
      </c>
      <c r="O18">
        <f>+IF('bono 10a esp'!R18="","",(1+'bono 10a esp'!R18)^('bono 10a esp'!R$6)-1)</f>
        <v>0.43548880334826934</v>
      </c>
      <c r="P18">
        <f>+IF('bono 10a esp'!S18="","",(1+'bono 10a esp'!S18)^('bono 10a esp'!S$6)-1)</f>
        <v>0.48070670065373777</v>
      </c>
      <c r="Q18">
        <f>+IF('bono 10a esp'!T18="","",(1+'bono 10a esp'!T18)^('bono 10a esp'!T$6)-1)</f>
        <v>0.52838545641478807</v>
      </c>
      <c r="R18" t="str">
        <f>+IF('bono 10a esp'!U18="","",(1+'bono 10a esp'!U18)^('bono 10a esp'!U$6)-1)</f>
        <v/>
      </c>
      <c r="S18" t="str">
        <f>+IF('bono 10a esp'!V18="","",(1+'bono 10a esp'!V18)^('bono 10a esp'!V$6)-1)</f>
        <v/>
      </c>
      <c r="T18" t="str">
        <f>+IF('bono 10a esp'!W18="","",(1+'bono 10a esp'!W18)^('bono 10a esp'!W$6)-1)</f>
        <v/>
      </c>
      <c r="U18" t="str">
        <f>+IF('bono 10a esp'!X18="","",(1+'bono 10a esp'!X18)^('bono 10a esp'!X$6)-1)</f>
        <v/>
      </c>
    </row>
    <row r="19" spans="1:21" x14ac:dyDescent="0.3">
      <c r="A19">
        <f>+'bono 10a esp'!A19</f>
        <v>2011</v>
      </c>
      <c r="B19">
        <f>+IF('bono 10a esp'!E19="","",(1+'bono 10a esp'!E19)^('bono 10a esp'!E$6)-1)</f>
        <v>5.4499999999999993E-2</v>
      </c>
      <c r="C19">
        <f>+IF('bono 10a esp'!F19="","",(1+'bono 10a esp'!F19)^('bono 10a esp'!F$6)-1)</f>
        <v>0.10743589999999981</v>
      </c>
      <c r="D19">
        <f>+IF('bono 10a esp'!G19="","",(1+'bono 10a esp'!G19)^('bono 10a esp'!G$6)-1)</f>
        <v>0.16900933604000001</v>
      </c>
      <c r="E19">
        <f>+IF('bono 10a esp'!H19="","",(1+'bono 10a esp'!H19)^('bono 10a esp'!H$6)-1)</f>
        <v>0.21728942161845288</v>
      </c>
      <c r="F19">
        <f>+IF('bono 10a esp'!I19="","",(1+'bono 10a esp'!I19)^('bono 10a esp'!I$6)-1)</f>
        <v>0.23700951024867156</v>
      </c>
      <c r="G19">
        <f>+IF('bono 10a esp'!J19="","",(1+'bono 10a esp'!J19)^('bono 10a esp'!J$6)-1)</f>
        <v>0.25902827953109742</v>
      </c>
      <c r="H19">
        <f>+IF('bono 10a esp'!K19="","",(1+'bono 10a esp'!K19)^('bono 10a esp'!K$6)-1)</f>
        <v>0.27615106413272028</v>
      </c>
      <c r="I19">
        <f>+IF('bono 10a esp'!L19="","",(1+'bono 10a esp'!L19)^('bono 10a esp'!L$6)-1)</f>
        <v>0.29235818264720659</v>
      </c>
      <c r="J19">
        <f>+IF('bono 10a esp'!M19="","",(1+'bono 10a esp'!M19)^('bono 10a esp'!M$6)-1)</f>
        <v>0.29679226357186961</v>
      </c>
      <c r="K19">
        <f>+IF('bono 10a esp'!N19="","",(1+'bono 10a esp'!N19)^('bono 10a esp'!N$6)-1)</f>
        <v>0.30172007417344138</v>
      </c>
      <c r="L19">
        <f>+IF('bono 10a esp'!O19="","",(1+'bono 10a esp'!O19)^('bono 10a esp'!O$6)-1)</f>
        <v>0.30627609443304982</v>
      </c>
      <c r="M19">
        <f>+IF('bono 10a esp'!P19="","",(1+'bono 10a esp'!P19)^('bono 10a esp'!P$6)-1)</f>
        <v>0.3350141685105763</v>
      </c>
      <c r="N19">
        <f>+IF('bono 10a esp'!Q19="","",(1+'bono 10a esp'!Q19)^('bono 10a esp'!Q$6)-1)</f>
        <v>0.38160616299159456</v>
      </c>
      <c r="O19">
        <f>+IF('bono 10a esp'!R19="","",(1+'bono 10a esp'!R19)^('bono 10a esp'!R$6)-1)</f>
        <v>0.42512675712583126</v>
      </c>
      <c r="P19">
        <f>+IF('bono 10a esp'!S19="","",(1+'bono 10a esp'!S19)^('bono 10a esp'!S$6)-1)</f>
        <v>0.47101583870528141</v>
      </c>
      <c r="Q19" t="str">
        <f>+IF('bono 10a esp'!T19="","",(1+'bono 10a esp'!T19)^('bono 10a esp'!T$6)-1)</f>
        <v/>
      </c>
      <c r="R19" t="str">
        <f>+IF('bono 10a esp'!U19="","",(1+'bono 10a esp'!U19)^('bono 10a esp'!U$6)-1)</f>
        <v/>
      </c>
      <c r="S19" t="str">
        <f>+IF('bono 10a esp'!V19="","",(1+'bono 10a esp'!V19)^('bono 10a esp'!V$6)-1)</f>
        <v/>
      </c>
      <c r="T19" t="str">
        <f>+IF('bono 10a esp'!W19="","",(1+'bono 10a esp'!W19)^('bono 10a esp'!W$6)-1)</f>
        <v/>
      </c>
      <c r="U19" t="str">
        <f>+IF('bono 10a esp'!X19="","",(1+'bono 10a esp'!X19)^('bono 10a esp'!X$6)-1)</f>
        <v/>
      </c>
    </row>
    <row r="20" spans="1:21" x14ac:dyDescent="0.3">
      <c r="A20">
        <f>+'bono 10a esp'!A20</f>
        <v>2012</v>
      </c>
      <c r="B20">
        <f>+IF('bono 10a esp'!E20="","",(1+'bono 10a esp'!E20)^('bono 10a esp'!E$6)-1)</f>
        <v>5.0200000000000022E-2</v>
      </c>
      <c r="C20">
        <f>+IF('bono 10a esp'!F20="","",(1+'bono 10a esp'!F20)^('bono 10a esp'!F$6)-1)</f>
        <v>0.10859112000000004</v>
      </c>
      <c r="D20">
        <f>+IF('bono 10a esp'!G20="","",(1+'bono 10a esp'!G20)^('bono 10a esp'!G$6)-1)</f>
        <v>0.15437593325600019</v>
      </c>
      <c r="E20">
        <f>+IF('bono 10a esp'!H20="","",(1+'bono 10a esp'!H20)^('bono 10a esp'!H$6)-1)</f>
        <v>0.17307682337474684</v>
      </c>
      <c r="F20">
        <f>+IF('bono 10a esp'!I20="","",(1+'bono 10a esp'!I20)^('bono 10a esp'!I$6)-1)</f>
        <v>0.19395759083081732</v>
      </c>
      <c r="G20">
        <f>+IF('bono 10a esp'!J20="","",(1+'bono 10a esp'!J20)^('bono 10a esp'!J$6)-1)</f>
        <v>0.2101954140661173</v>
      </c>
      <c r="H20">
        <f>+IF('bono 10a esp'!K20="","",(1+'bono 10a esp'!K20)^('bono 10a esp'!K$6)-1)</f>
        <v>0.22556489582475647</v>
      </c>
      <c r="I20">
        <f>+IF('bono 10a esp'!L20="","",(1+'bono 10a esp'!L20)^('bono 10a esp'!L$6)-1)</f>
        <v>0.22976980898233035</v>
      </c>
      <c r="J20">
        <f>+IF('bono 10a esp'!M20="","",(1+'bono 10a esp'!M20)^('bono 10a esp'!M$6)-1)</f>
        <v>0.23444293425646512</v>
      </c>
      <c r="K20">
        <f>+IF('bono 10a esp'!N20="","",(1+'bono 10a esp'!N20)^('bono 10a esp'!N$6)-1)</f>
        <v>0.23876348452636265</v>
      </c>
      <c r="L20">
        <f>+IF('bono 10a esp'!O20="","",(1+'bono 10a esp'!O20)^('bono 10a esp'!O$6)-1)</f>
        <v>0.26601628118594345</v>
      </c>
      <c r="M20">
        <f>+IF('bono 10a esp'!P20="","",(1+'bono 10a esp'!P20)^('bono 10a esp'!P$6)-1)</f>
        <v>0.31020024939933144</v>
      </c>
      <c r="N20">
        <f>+IF('bono 10a esp'!Q20="","",(1+'bono 10a esp'!Q20)^('bono 10a esp'!Q$6)-1)</f>
        <v>0.35147155725541213</v>
      </c>
      <c r="O20">
        <f>+IF('bono 10a esp'!R20="","",(1+'bono 10a esp'!R20)^('bono 10a esp'!R$6)-1)</f>
        <v>0.39498894139903373</v>
      </c>
      <c r="P20" t="str">
        <f>+IF('bono 10a esp'!S20="","",(1+'bono 10a esp'!S20)^('bono 10a esp'!S$6)-1)</f>
        <v/>
      </c>
      <c r="Q20" t="str">
        <f>+IF('bono 10a esp'!T20="","",(1+'bono 10a esp'!T20)^('bono 10a esp'!T$6)-1)</f>
        <v/>
      </c>
      <c r="R20" t="str">
        <f>+IF('bono 10a esp'!U20="","",(1+'bono 10a esp'!U20)^('bono 10a esp'!U$6)-1)</f>
        <v/>
      </c>
      <c r="S20" t="str">
        <f>+IF('bono 10a esp'!V20="","",(1+'bono 10a esp'!V20)^('bono 10a esp'!V$6)-1)</f>
        <v/>
      </c>
      <c r="T20" t="str">
        <f>+IF('bono 10a esp'!W20="","",(1+'bono 10a esp'!W20)^('bono 10a esp'!W$6)-1)</f>
        <v/>
      </c>
      <c r="U20" t="str">
        <f>+IF('bono 10a esp'!X20="","",(1+'bono 10a esp'!X20)^('bono 10a esp'!X$6)-1)</f>
        <v/>
      </c>
    </row>
    <row r="21" spans="1:21" x14ac:dyDescent="0.3">
      <c r="A21">
        <f>+'bono 10a esp'!A21</f>
        <v>2013</v>
      </c>
      <c r="B21">
        <f>+IF('bono 10a esp'!E21="","",(1+'bono 10a esp'!E21)^('bono 10a esp'!E$6)-1)</f>
        <v>5.5600000000000094E-2</v>
      </c>
      <c r="C21">
        <f>+IF('bono 10a esp'!F21="","",(1+'bono 10a esp'!F21)^('bono 10a esp'!F$6)-1)</f>
        <v>9.9196280000000137E-2</v>
      </c>
      <c r="D21">
        <f>+IF('bono 10a esp'!G21="","",(1+'bono 10a esp'!G21)^('bono 10a esp'!G$6)-1)</f>
        <v>0.11700325973599979</v>
      </c>
      <c r="E21">
        <f>+IF('bono 10a esp'!H21="","",(1+'bono 10a esp'!H21)^('bono 10a esp'!H$6)-1)</f>
        <v>0.13688591775930115</v>
      </c>
      <c r="F21">
        <f>+IF('bono 10a esp'!I21="","",(1+'bono 10a esp'!I21)^('bono 10a esp'!I$6)-1)</f>
        <v>0.15234756624082713</v>
      </c>
      <c r="G21">
        <f>+IF('bono 10a esp'!J21="","",(1+'bono 10a esp'!J21)^('bono 10a esp'!J$6)-1)</f>
        <v>0.1669823803320869</v>
      </c>
      <c r="H21">
        <f>+IF('bono 10a esp'!K21="","",(1+'bono 10a esp'!K21)^('bono 10a esp'!K$6)-1)</f>
        <v>0.17098629687900568</v>
      </c>
      <c r="I21">
        <f>+IF('bono 10a esp'!L21="","",(1+'bono 10a esp'!L21)^('bono 10a esp'!L$6)-1)</f>
        <v>0.17543604480714503</v>
      </c>
      <c r="J21">
        <f>+IF('bono 10a esp'!M21="","",(1+'bono 10a esp'!M21)^('bono 10a esp'!M$6)-1)</f>
        <v>0.17955007096397146</v>
      </c>
      <c r="K21">
        <f>+IF('bono 10a esp'!N21="","",(1+'bono 10a esp'!N21)^('bono 10a esp'!N$6)-1)</f>
        <v>0.20550017252517971</v>
      </c>
      <c r="L21">
        <f>+IF('bono 10a esp'!O21="","",(1+'bono 10a esp'!O21)^('bono 10a esp'!O$6)-1)</f>
        <v>0.24757212854630661</v>
      </c>
      <c r="M21">
        <f>+IF('bono 10a esp'!P21="","",(1+'bono 10a esp'!P21)^('bono 10a esp'!P$6)-1)</f>
        <v>0.2868706505955152</v>
      </c>
      <c r="N21">
        <f>+IF('bono 10a esp'!Q21="","",(1+'bono 10a esp'!Q21)^('bono 10a esp'!Q$6)-1)</f>
        <v>0.32830788554469059</v>
      </c>
      <c r="O21" t="str">
        <f>+IF('bono 10a esp'!R21="","",(1+'bono 10a esp'!R21)^('bono 10a esp'!R$6)-1)</f>
        <v/>
      </c>
      <c r="P21" t="str">
        <f>+IF('bono 10a esp'!S21="","",(1+'bono 10a esp'!S21)^('bono 10a esp'!S$6)-1)</f>
        <v/>
      </c>
      <c r="Q21" t="str">
        <f>+IF('bono 10a esp'!T21="","",(1+'bono 10a esp'!T21)^('bono 10a esp'!T$6)-1)</f>
        <v/>
      </c>
      <c r="R21" t="str">
        <f>+IF('bono 10a esp'!U21="","",(1+'bono 10a esp'!U21)^('bono 10a esp'!U$6)-1)</f>
        <v/>
      </c>
      <c r="S21" t="str">
        <f>+IF('bono 10a esp'!V21="","",(1+'bono 10a esp'!V21)^('bono 10a esp'!V$6)-1)</f>
        <v/>
      </c>
      <c r="T21" t="str">
        <f>+IF('bono 10a esp'!W21="","",(1+'bono 10a esp'!W21)^('bono 10a esp'!W$6)-1)</f>
        <v/>
      </c>
      <c r="U21" t="str">
        <f>+IF('bono 10a esp'!X21="","",(1+'bono 10a esp'!X21)^('bono 10a esp'!X$6)-1)</f>
        <v/>
      </c>
    </row>
    <row r="22" spans="1:21" x14ac:dyDescent="0.3">
      <c r="A22">
        <f>+'bono 10a esp'!A22</f>
        <v>2014</v>
      </c>
      <c r="B22">
        <f>+IF('bono 10a esp'!E22="","",(1+'bono 10a esp'!E22)^('bono 10a esp'!E$6)-1)</f>
        <v>4.1300000000000114E-2</v>
      </c>
      <c r="C22">
        <f>+IF('bono 10a esp'!F22="","",(1+'bono 10a esp'!F22)^('bono 10a esp'!F$6)-1)</f>
        <v>5.8169060000000217E-2</v>
      </c>
      <c r="D22">
        <f>+IF('bono 10a esp'!G22="","",(1+'bono 10a esp'!G22)^('bono 10a esp'!G$6)-1)</f>
        <v>7.700446926800053E-2</v>
      </c>
      <c r="E22">
        <f>+IF('bono 10a esp'!H22="","",(1+'bono 10a esp'!H22)^('bono 10a esp'!H$6)-1)</f>
        <v>9.1651730050045677E-2</v>
      </c>
      <c r="F22">
        <f>+IF('bono 10a esp'!I22="","",(1+'bono 10a esp'!I22)^('bono 10a esp'!I$6)-1)</f>
        <v>0.10551570702168123</v>
      </c>
      <c r="G22">
        <f>+IF('bono 10a esp'!J22="","",(1+'bono 10a esp'!J22)^('bono 10a esp'!J$6)-1)</f>
        <v>0.10930873141247255</v>
      </c>
      <c r="H22">
        <f>+IF('bono 10a esp'!K22="","",(1+'bono 10a esp'!K22)^('bono 10a esp'!K$6)-1)</f>
        <v>0.1135241045918387</v>
      </c>
      <c r="I22">
        <f>+IF('bono 10a esp'!L22="","",(1+'bono 10a esp'!L22)^('bono 10a esp'!L$6)-1)</f>
        <v>0.11742143895791179</v>
      </c>
      <c r="J22">
        <f>+IF('bono 10a esp'!M22="","",(1+'bono 10a esp'!M22)^('bono 10a esp'!M$6)-1)</f>
        <v>0.14200471061498599</v>
      </c>
      <c r="K22">
        <f>+IF('bono 10a esp'!N22="","",(1+'bono 10a esp'!N22)^('bono 10a esp'!N$6)-1)</f>
        <v>0.18186067501544723</v>
      </c>
      <c r="L22">
        <f>+IF('bono 10a esp'!O22="","",(1+'bono 10a esp'!O22)^('bono 10a esp'!O$6)-1)</f>
        <v>0.21908928627843438</v>
      </c>
      <c r="M22">
        <f>+IF('bono 10a esp'!P22="","",(1+'bono 10a esp'!P22)^('bono 10a esp'!P$6)-1)</f>
        <v>0.25834396129660253</v>
      </c>
      <c r="N22" t="str">
        <f>+IF('bono 10a esp'!Q22="","",(1+'bono 10a esp'!Q22)^('bono 10a esp'!Q$6)-1)</f>
        <v/>
      </c>
      <c r="O22" t="str">
        <f>+IF('bono 10a esp'!R22="","",(1+'bono 10a esp'!R22)^('bono 10a esp'!R$6)-1)</f>
        <v/>
      </c>
      <c r="P22" t="str">
        <f>+IF('bono 10a esp'!S22="","",(1+'bono 10a esp'!S22)^('bono 10a esp'!S$6)-1)</f>
        <v/>
      </c>
      <c r="Q22" t="str">
        <f>+IF('bono 10a esp'!T22="","",(1+'bono 10a esp'!T22)^('bono 10a esp'!T$6)-1)</f>
        <v/>
      </c>
      <c r="R22" t="str">
        <f>+IF('bono 10a esp'!U22="","",(1+'bono 10a esp'!U22)^('bono 10a esp'!U$6)-1)</f>
        <v/>
      </c>
      <c r="S22" t="str">
        <f>+IF('bono 10a esp'!V22="","",(1+'bono 10a esp'!V22)^('bono 10a esp'!V$6)-1)</f>
        <v/>
      </c>
      <c r="T22" t="str">
        <f>+IF('bono 10a esp'!W22="","",(1+'bono 10a esp'!W22)^('bono 10a esp'!W$6)-1)</f>
        <v/>
      </c>
      <c r="U22" t="str">
        <f>+IF('bono 10a esp'!X22="","",(1+'bono 10a esp'!X22)^('bono 10a esp'!X$6)-1)</f>
        <v/>
      </c>
    </row>
    <row r="23" spans="1:21" x14ac:dyDescent="0.3">
      <c r="A23">
        <f>+'bono 10a esp'!A23</f>
        <v>2015</v>
      </c>
      <c r="B23">
        <f>+IF('bono 10a esp'!E23="","",(1+'bono 10a esp'!E23)^('bono 10a esp'!E$6)-1)</f>
        <v>1.6199999999999992E-2</v>
      </c>
      <c r="C23">
        <f>+IF('bono 10a esp'!F23="","",(1+'bono 10a esp'!F23)^('bono 10a esp'!F$6)-1)</f>
        <v>3.4288360000000129E-2</v>
      </c>
      <c r="D23">
        <f>+IF('bono 10a esp'!G23="","",(1+'bono 10a esp'!G23)^('bono 10a esp'!G$6)-1)</f>
        <v>4.8354681695999879E-2</v>
      </c>
      <c r="E23">
        <f>+IF('bono 10a esp'!H23="","",(1+'bono 10a esp'!H23)^('bono 10a esp'!H$6)-1)</f>
        <v>6.1668786153539434E-2</v>
      </c>
      <c r="F23">
        <f>+IF('bono 10a esp'!I23="","",(1+'bono 10a esp'!I23)^('bono 10a esp'!I$6)-1)</f>
        <v>6.5311371758831838E-2</v>
      </c>
      <c r="G23">
        <f>+IF('bono 10a esp'!J23="","",(1+'bono 10a esp'!J23)^('bono 10a esp'!J$6)-1)</f>
        <v>6.9359554971515136E-2</v>
      </c>
      <c r="H23">
        <f>+IF('bono 10a esp'!K23="","",(1+'bono 10a esp'!K23)^('bono 10a esp'!K$6)-1)</f>
        <v>7.3102313413916153E-2</v>
      </c>
      <c r="I23">
        <f>+IF('bono 10a esp'!L23="","",(1+'bono 10a esp'!L23)^('bono 10a esp'!L$6)-1)</f>
        <v>9.6710564309022029E-2</v>
      </c>
      <c r="J23">
        <f>+IF('bono 10a esp'!M23="","",(1+'bono 10a esp'!M23)^('bono 10a esp'!M$6)-1)</f>
        <v>0.13498576300340615</v>
      </c>
      <c r="K23">
        <f>+IF('bono 10a esp'!N23="","",(1+'bono 10a esp'!N23)^('bono 10a esp'!N$6)-1)</f>
        <v>0.17073781453801451</v>
      </c>
      <c r="L23">
        <f>+IF('bono 10a esp'!O23="","",(1+'bono 10a esp'!O23)^('bono 10a esp'!O$6)-1)</f>
        <v>0.20843557216614017</v>
      </c>
      <c r="M23" t="str">
        <f>+IF('bono 10a esp'!P23="","",(1+'bono 10a esp'!P23)^('bono 10a esp'!P$6)-1)</f>
        <v/>
      </c>
      <c r="N23" t="str">
        <f>+IF('bono 10a esp'!Q23="","",(1+'bono 10a esp'!Q23)^('bono 10a esp'!Q$6)-1)</f>
        <v/>
      </c>
      <c r="O23" t="str">
        <f>+IF('bono 10a esp'!R23="","",(1+'bono 10a esp'!R23)^('bono 10a esp'!R$6)-1)</f>
        <v/>
      </c>
      <c r="P23" t="str">
        <f>+IF('bono 10a esp'!S23="","",(1+'bono 10a esp'!S23)^('bono 10a esp'!S$6)-1)</f>
        <v/>
      </c>
      <c r="Q23" t="str">
        <f>+IF('bono 10a esp'!T23="","",(1+'bono 10a esp'!T23)^('bono 10a esp'!T$6)-1)</f>
        <v/>
      </c>
      <c r="R23" t="str">
        <f>+IF('bono 10a esp'!U23="","",(1+'bono 10a esp'!U23)^('bono 10a esp'!U$6)-1)</f>
        <v/>
      </c>
      <c r="S23" t="str">
        <f>+IF('bono 10a esp'!V23="","",(1+'bono 10a esp'!V23)^('bono 10a esp'!V$6)-1)</f>
        <v/>
      </c>
      <c r="T23" t="str">
        <f>+IF('bono 10a esp'!W23="","",(1+'bono 10a esp'!W23)^('bono 10a esp'!W$6)-1)</f>
        <v/>
      </c>
      <c r="U23" t="str">
        <f>+IF('bono 10a esp'!X23="","",(1+'bono 10a esp'!X23)^('bono 10a esp'!X$6)-1)</f>
        <v/>
      </c>
    </row>
    <row r="24" spans="1:21" x14ac:dyDescent="0.3">
      <c r="A24">
        <f>+'bono 10a esp'!A24</f>
        <v>2016</v>
      </c>
      <c r="B24">
        <f>+IF('bono 10a esp'!E24="","",(1+'bono 10a esp'!E24)^('bono 10a esp'!E$6)-1)</f>
        <v>1.7800000000000038E-2</v>
      </c>
      <c r="C24">
        <f>+IF('bono 10a esp'!F24="","",(1+'bono 10a esp'!F24)^('bono 10a esp'!F$6)-1)</f>
        <v>3.1642080000000128E-2</v>
      </c>
      <c r="D24">
        <f>+IF('bono 10a esp'!G24="","",(1+'bono 10a esp'!G24)^('bono 10a esp'!G$6)-1)</f>
        <v>4.4743934416000108E-2</v>
      </c>
      <c r="E24">
        <f>+IF('bono 10a esp'!H24="","",(1+'bono 10a esp'!H24)^('bono 10a esp'!H$6)-1)</f>
        <v>4.8328450854981053E-2</v>
      </c>
      <c r="F24">
        <f>+IF('bono 10a esp'!I24="","",(1+'bono 10a esp'!I24)^('bono 10a esp'!I$6)-1)</f>
        <v>5.2312098968229748E-2</v>
      </c>
      <c r="G24">
        <f>+IF('bono 10a esp'!J24="","",(1+'bono 10a esp'!J24)^('bono 10a esp'!J$6)-1)</f>
        <v>5.5995191314618831E-2</v>
      </c>
      <c r="H24">
        <f>+IF('bono 10a esp'!K24="","",(1+'bono 10a esp'!K24)^('bono 10a esp'!K$6)-1)</f>
        <v>7.9227085523540186E-2</v>
      </c>
      <c r="I24">
        <f>+IF('bono 10a esp'!L24="","",(1+'bono 10a esp'!L24)^('bono 10a esp'!L$6)-1)</f>
        <v>0.11689211080831274</v>
      </c>
      <c r="J24">
        <f>+IF('bono 10a esp'!M24="","",(1+'bono 10a esp'!M24)^('bono 10a esp'!M$6)-1)</f>
        <v>0.15207421229877305</v>
      </c>
      <c r="K24">
        <f>+IF('bono 10a esp'!N24="","",(1+'bono 10a esp'!N24)^('bono 10a esp'!N$6)-1)</f>
        <v>0.1891710019347943</v>
      </c>
      <c r="L24" t="str">
        <f>+IF('bono 10a esp'!O24="","",(1+'bono 10a esp'!O24)^('bono 10a esp'!O$6)-1)</f>
        <v/>
      </c>
      <c r="M24" t="str">
        <f>+IF('bono 10a esp'!P24="","",(1+'bono 10a esp'!P24)^('bono 10a esp'!P$6)-1)</f>
        <v/>
      </c>
      <c r="N24" t="str">
        <f>+IF('bono 10a esp'!Q24="","",(1+'bono 10a esp'!Q24)^('bono 10a esp'!Q$6)-1)</f>
        <v/>
      </c>
      <c r="O24" t="str">
        <f>+IF('bono 10a esp'!R24="","",(1+'bono 10a esp'!R24)^('bono 10a esp'!R$6)-1)</f>
        <v/>
      </c>
      <c r="P24" t="str">
        <f>+IF('bono 10a esp'!S24="","",(1+'bono 10a esp'!S24)^('bono 10a esp'!S$6)-1)</f>
        <v/>
      </c>
      <c r="Q24" t="str">
        <f>+IF('bono 10a esp'!T24="","",(1+'bono 10a esp'!T24)^('bono 10a esp'!T$6)-1)</f>
        <v/>
      </c>
      <c r="R24" t="str">
        <f>+IF('bono 10a esp'!U24="","",(1+'bono 10a esp'!U24)^('bono 10a esp'!U$6)-1)</f>
        <v/>
      </c>
      <c r="S24" t="str">
        <f>+IF('bono 10a esp'!V24="","",(1+'bono 10a esp'!V24)^('bono 10a esp'!V$6)-1)</f>
        <v/>
      </c>
      <c r="T24" t="str">
        <f>+IF('bono 10a esp'!W24="","",(1+'bono 10a esp'!W24)^('bono 10a esp'!W$6)-1)</f>
        <v/>
      </c>
      <c r="U24" t="str">
        <f>+IF('bono 10a esp'!X24="","",(1+'bono 10a esp'!X24)^('bono 10a esp'!X$6)-1)</f>
        <v/>
      </c>
    </row>
    <row r="25" spans="1:21" x14ac:dyDescent="0.3">
      <c r="A25">
        <f>+'bono 10a esp'!A25</f>
        <v>2017</v>
      </c>
      <c r="B25">
        <f>+IF('bono 10a esp'!E25="","",(1+'bono 10a esp'!E25)^('bono 10a esp'!E$6)-1)</f>
        <v>1.3600000000000056E-2</v>
      </c>
      <c r="C25">
        <f>+IF('bono 10a esp'!F25="","",(1+'bono 10a esp'!F25)^('bono 10a esp'!F$6)-1)</f>
        <v>2.6472719999999672E-2</v>
      </c>
      <c r="D25">
        <f>+IF('bono 10a esp'!G25="","",(1+'bono 10a esp'!G25)^('bono 10a esp'!G$6)-1)</f>
        <v>2.999454790231959E-2</v>
      </c>
      <c r="E25">
        <f>+IF('bono 10a esp'!H25="","",(1+'bono 10a esp'!H25)^('bono 10a esp'!H$6)-1)</f>
        <v>3.3908527184348891E-2</v>
      </c>
      <c r="F25">
        <f>+IF('bono 10a esp'!I25="","",(1+'bono 10a esp'!I25)^('bono 10a esp'!I$6)-1)</f>
        <v>3.7527207029493415E-2</v>
      </c>
      <c r="G25">
        <f>+IF('bono 10a esp'!J25="","",(1+'bono 10a esp'!J25)^('bono 10a esp'!J$6)-1)</f>
        <v>6.035280558414291E-2</v>
      </c>
      <c r="H25">
        <f>+IF('bono 10a esp'!K25="","",(1+'bono 10a esp'!K25)^('bono 10a esp'!K$6)-1)</f>
        <v>9.7359118499030117E-2</v>
      </c>
      <c r="I25">
        <f>+IF('bono 10a esp'!L25="","",(1+'bono 10a esp'!L25)^('bono 10a esp'!L$6)-1)</f>
        <v>0.13192593073174952</v>
      </c>
      <c r="J25">
        <f>+IF('bono 10a esp'!M25="","",(1+'bono 10a esp'!M25)^('bono 10a esp'!M$6)-1)</f>
        <v>0.16837394570130981</v>
      </c>
      <c r="K25" t="str">
        <f>+IF('bono 10a esp'!N25="","",(1+'bono 10a esp'!N25)^('bono 10a esp'!N$6)-1)</f>
        <v/>
      </c>
      <c r="L25" t="str">
        <f>+IF('bono 10a esp'!O25="","",(1+'bono 10a esp'!O25)^('bono 10a esp'!O$6)-1)</f>
        <v/>
      </c>
      <c r="M25" t="str">
        <f>+IF('bono 10a esp'!P25="","",(1+'bono 10a esp'!P25)^('bono 10a esp'!P$6)-1)</f>
        <v/>
      </c>
      <c r="N25" t="str">
        <f>+IF('bono 10a esp'!Q25="","",(1+'bono 10a esp'!Q25)^('bono 10a esp'!Q$6)-1)</f>
        <v/>
      </c>
      <c r="O25" t="str">
        <f>+IF('bono 10a esp'!R25="","",(1+'bono 10a esp'!R25)^('bono 10a esp'!R$6)-1)</f>
        <v/>
      </c>
      <c r="P25" t="str">
        <f>+IF('bono 10a esp'!S25="","",(1+'bono 10a esp'!S25)^('bono 10a esp'!S$6)-1)</f>
        <v/>
      </c>
      <c r="Q25" t="str">
        <f>+IF('bono 10a esp'!T25="","",(1+'bono 10a esp'!T25)^('bono 10a esp'!T$6)-1)</f>
        <v/>
      </c>
      <c r="R25" t="str">
        <f>+IF('bono 10a esp'!U25="","",(1+'bono 10a esp'!U25)^('bono 10a esp'!U$6)-1)</f>
        <v/>
      </c>
      <c r="S25" t="str">
        <f>+IF('bono 10a esp'!V25="","",(1+'bono 10a esp'!V25)^('bono 10a esp'!V$6)-1)</f>
        <v/>
      </c>
      <c r="T25" t="str">
        <f>+IF('bono 10a esp'!W25="","",(1+'bono 10a esp'!W25)^('bono 10a esp'!W$6)-1)</f>
        <v/>
      </c>
      <c r="U25" t="str">
        <f>+IF('bono 10a esp'!X25="","",(1+'bono 10a esp'!X25)^('bono 10a esp'!X$6)-1)</f>
        <v/>
      </c>
    </row>
    <row r="26" spans="1:21" x14ac:dyDescent="0.3">
      <c r="A26">
        <f>+'bono 10a esp'!A26</f>
        <v>2018</v>
      </c>
      <c r="B26">
        <f>+IF('bono 10a esp'!E26="","",(1+'bono 10a esp'!E26)^('bono 10a esp'!E$6)-1)</f>
        <v>1.2699999999999934E-2</v>
      </c>
      <c r="C26">
        <f>+IF('bono 10a esp'!F26="","",(1+'bono 10a esp'!F26)^('bono 10a esp'!F$6)-1)</f>
        <v>1.6174573699999861E-2</v>
      </c>
      <c r="D26">
        <f>+IF('bono 10a esp'!G26="","",(1+'bono 10a esp'!G26)^('bono 10a esp'!G$6)-1)</f>
        <v>2.0036037080059632E-2</v>
      </c>
      <c r="E26">
        <f>+IF('bono 10a esp'!H26="","",(1+'bono 10a esp'!H26)^('bono 10a esp'!H$6)-1)</f>
        <v>2.3606163209840547E-2</v>
      </c>
      <c r="F26">
        <f>+IF('bono 10a esp'!I26="","",(1+'bono 10a esp'!I26)^('bono 10a esp'!I$6)-1)</f>
        <v>4.6125498800456244E-2</v>
      </c>
      <c r="G26">
        <f>+IF('bono 10a esp'!J26="","",(1+'bono 10a esp'!J26)^('bono 10a esp'!J$6)-1)</f>
        <v>8.2635278708592663E-2</v>
      </c>
      <c r="H26">
        <f>+IF('bono 10a esp'!K26="","",(1+'bono 10a esp'!K26)^('bono 10a esp'!K$6)-1)</f>
        <v>0.11673828998791258</v>
      </c>
      <c r="I26">
        <f>+IF('bono 10a esp'!L26="","",(1+'bono 10a esp'!L26)^('bono 10a esp'!L$6)-1)</f>
        <v>0.15269726292552388</v>
      </c>
      <c r="J26" t="str">
        <f>+IF('bono 10a esp'!M26="","",(1+'bono 10a esp'!M26)^('bono 10a esp'!M$6)-1)</f>
        <v/>
      </c>
      <c r="K26" t="str">
        <f>+IF('bono 10a esp'!N26="","",(1+'bono 10a esp'!N26)^('bono 10a esp'!N$6)-1)</f>
        <v/>
      </c>
      <c r="L26" t="str">
        <f>+IF('bono 10a esp'!O26="","",(1+'bono 10a esp'!O26)^('bono 10a esp'!O$6)-1)</f>
        <v/>
      </c>
      <c r="M26" t="str">
        <f>+IF('bono 10a esp'!P26="","",(1+'bono 10a esp'!P26)^('bono 10a esp'!P$6)-1)</f>
        <v/>
      </c>
      <c r="N26" t="str">
        <f>+IF('bono 10a esp'!Q26="","",(1+'bono 10a esp'!Q26)^('bono 10a esp'!Q$6)-1)</f>
        <v/>
      </c>
      <c r="O26" t="str">
        <f>+IF('bono 10a esp'!R26="","",(1+'bono 10a esp'!R26)^('bono 10a esp'!R$6)-1)</f>
        <v/>
      </c>
      <c r="P26" t="str">
        <f>+IF('bono 10a esp'!S26="","",(1+'bono 10a esp'!S26)^('bono 10a esp'!S$6)-1)</f>
        <v/>
      </c>
      <c r="Q26" t="str">
        <f>+IF('bono 10a esp'!T26="","",(1+'bono 10a esp'!T26)^('bono 10a esp'!T$6)-1)</f>
        <v/>
      </c>
      <c r="R26" t="str">
        <f>+IF('bono 10a esp'!U26="","",(1+'bono 10a esp'!U26)^('bono 10a esp'!U$6)-1)</f>
        <v/>
      </c>
      <c r="S26" t="str">
        <f>+IF('bono 10a esp'!V26="","",(1+'bono 10a esp'!V26)^('bono 10a esp'!V$6)-1)</f>
        <v/>
      </c>
      <c r="T26" t="str">
        <f>+IF('bono 10a esp'!W26="","",(1+'bono 10a esp'!W26)^('bono 10a esp'!W$6)-1)</f>
        <v/>
      </c>
      <c r="U26" t="str">
        <f>+IF('bono 10a esp'!X26="","",(1+'bono 10a esp'!X26)^('bono 10a esp'!X$6)-1)</f>
        <v/>
      </c>
    </row>
    <row r="27" spans="1:21" x14ac:dyDescent="0.3">
      <c r="A27">
        <f>+'bono 10a esp'!A27</f>
        <v>2019</v>
      </c>
      <c r="B27">
        <f>+IF('bono 10a esp'!E27="","",(1+'bono 10a esp'!E27)^('bono 10a esp'!E$6)-1)</f>
        <v>3.4309999999999619E-3</v>
      </c>
      <c r="C27">
        <f>+IF('bono 10a esp'!F27="","",(1+'bono 10a esp'!F27)^('bono 10a esp'!F$6)-1)</f>
        <v>7.2440378000000472E-3</v>
      </c>
      <c r="D27">
        <f>+IF('bono 10a esp'!G27="","",(1+'bono 10a esp'!G27)^('bono 10a esp'!G$6)-1)</f>
        <v>1.0769391932299976E-2</v>
      </c>
      <c r="E27">
        <f>+IF('bono 10a esp'!H27="","",(1+'bono 10a esp'!H27)^('bono 10a esp'!H$6)-1)</f>
        <v>3.3006318554810843E-2</v>
      </c>
      <c r="F27">
        <f>+IF('bono 10a esp'!I27="","",(1+'bono 10a esp'!I27)^('bono 10a esp'!I$6)-1)</f>
        <v>6.9058239072373073E-2</v>
      </c>
      <c r="G27">
        <f>+IF('bono 10a esp'!J27="","",(1+'bono 10a esp'!J27)^('bono 10a esp'!J$6)-1)</f>
        <v>0.10273357360315405</v>
      </c>
      <c r="H27">
        <f>+IF('bono 10a esp'!K27="","",(1+'bono 10a esp'!K27)^('bono 10a esp'!K$6)-1)</f>
        <v>0.13824159467317565</v>
      </c>
      <c r="I27" t="str">
        <f>+IF('bono 10a esp'!L27="","",(1+'bono 10a esp'!L27)^('bono 10a esp'!L$6)-1)</f>
        <v/>
      </c>
      <c r="J27" t="str">
        <f>+IF('bono 10a esp'!M27="","",(1+'bono 10a esp'!M27)^('bono 10a esp'!M$6)-1)</f>
        <v/>
      </c>
      <c r="K27" t="str">
        <f>+IF('bono 10a esp'!N27="","",(1+'bono 10a esp'!N27)^('bono 10a esp'!N$6)-1)</f>
        <v/>
      </c>
      <c r="L27" t="str">
        <f>+IF('bono 10a esp'!O27="","",(1+'bono 10a esp'!O27)^('bono 10a esp'!O$6)-1)</f>
        <v/>
      </c>
      <c r="M27" t="str">
        <f>+IF('bono 10a esp'!P27="","",(1+'bono 10a esp'!P27)^('bono 10a esp'!P$6)-1)</f>
        <v/>
      </c>
      <c r="N27" t="str">
        <f>+IF('bono 10a esp'!Q27="","",(1+'bono 10a esp'!Q27)^('bono 10a esp'!Q$6)-1)</f>
        <v/>
      </c>
      <c r="O27" t="str">
        <f>+IF('bono 10a esp'!R27="","",(1+'bono 10a esp'!R27)^('bono 10a esp'!R$6)-1)</f>
        <v/>
      </c>
      <c r="P27" t="str">
        <f>+IF('bono 10a esp'!S27="","",(1+'bono 10a esp'!S27)^('bono 10a esp'!S$6)-1)</f>
        <v/>
      </c>
      <c r="Q27" t="str">
        <f>+IF('bono 10a esp'!T27="","",(1+'bono 10a esp'!T27)^('bono 10a esp'!T$6)-1)</f>
        <v/>
      </c>
      <c r="R27" t="str">
        <f>+IF('bono 10a esp'!U27="","",(1+'bono 10a esp'!U27)^('bono 10a esp'!U$6)-1)</f>
        <v/>
      </c>
      <c r="S27" t="str">
        <f>+IF('bono 10a esp'!V27="","",(1+'bono 10a esp'!V27)^('bono 10a esp'!V$6)-1)</f>
        <v/>
      </c>
      <c r="T27" t="str">
        <f>+IF('bono 10a esp'!W27="","",(1+'bono 10a esp'!W27)^('bono 10a esp'!W$6)-1)</f>
        <v/>
      </c>
      <c r="U27" t="str">
        <f>+IF('bono 10a esp'!X27="","",(1+'bono 10a esp'!X27)^('bono 10a esp'!X$6)-1)</f>
        <v/>
      </c>
    </row>
    <row r="28" spans="1:21" x14ac:dyDescent="0.3">
      <c r="A28">
        <f>+'bono 10a esp'!A28</f>
        <v>2020</v>
      </c>
      <c r="B28">
        <f>+IF('bono 10a esp'!E28="","",(1+'bono 10a esp'!E28)^('bono 10a esp'!E$6)-1)</f>
        <v>3.8000000000000256E-3</v>
      </c>
      <c r="C28">
        <f>+IF('bono 10a esp'!F28="","",(1+'bono 10a esp'!F28)^('bono 10a esp'!F$6)-1)</f>
        <v>7.3133000000000781E-3</v>
      </c>
      <c r="D28">
        <f>+IF('bono 10a esp'!G28="","",(1+'bono 10a esp'!G28)^('bono 10a esp'!G$6)-1)</f>
        <v>2.9474192600000171E-2</v>
      </c>
      <c r="E28">
        <f>+IF('bono 10a esp'!H28="","",(1+'bono 10a esp'!H28)^('bono 10a esp'!H$6)-1)</f>
        <v>6.5402841921740063E-2</v>
      </c>
      <c r="F28">
        <f>+IF('bono 10a esp'!I28="","",(1+'bono 10a esp'!I28)^('bono 10a esp'!I$6)-1)</f>
        <v>9.8963031442274918E-2</v>
      </c>
      <c r="G28">
        <f>+IF('bono 10a esp'!J28="","",(1+'bono 10a esp'!J28)^('bono 10a esp'!J$6)-1)</f>
        <v>0.13434964105471514</v>
      </c>
      <c r="H28" t="str">
        <f>+IF('bono 10a esp'!K28="","",(1+'bono 10a esp'!K28)^('bono 10a esp'!K$6)-1)</f>
        <v/>
      </c>
      <c r="I28" t="str">
        <f>+IF('bono 10a esp'!L28="","",(1+'bono 10a esp'!L28)^('bono 10a esp'!L$6)-1)</f>
        <v/>
      </c>
      <c r="J28" t="str">
        <f>+IF('bono 10a esp'!M28="","",(1+'bono 10a esp'!M28)^('bono 10a esp'!M$6)-1)</f>
        <v/>
      </c>
      <c r="K28" t="str">
        <f>+IF('bono 10a esp'!N28="","",(1+'bono 10a esp'!N28)^('bono 10a esp'!N$6)-1)</f>
        <v/>
      </c>
      <c r="L28" t="str">
        <f>+IF('bono 10a esp'!O28="","",(1+'bono 10a esp'!O28)^('bono 10a esp'!O$6)-1)</f>
        <v/>
      </c>
      <c r="M28" t="str">
        <f>+IF('bono 10a esp'!P28="","",(1+'bono 10a esp'!P28)^('bono 10a esp'!P$6)-1)</f>
        <v/>
      </c>
      <c r="N28" t="str">
        <f>+IF('bono 10a esp'!Q28="","",(1+'bono 10a esp'!Q28)^('bono 10a esp'!Q$6)-1)</f>
        <v/>
      </c>
      <c r="O28" t="str">
        <f>+IF('bono 10a esp'!R28="","",(1+'bono 10a esp'!R28)^('bono 10a esp'!R$6)-1)</f>
        <v/>
      </c>
      <c r="P28" t="str">
        <f>+IF('bono 10a esp'!S28="","",(1+'bono 10a esp'!S28)^('bono 10a esp'!S$6)-1)</f>
        <v/>
      </c>
      <c r="Q28" t="str">
        <f>+IF('bono 10a esp'!T28="","",(1+'bono 10a esp'!T28)^('bono 10a esp'!T$6)-1)</f>
        <v/>
      </c>
      <c r="R28" t="str">
        <f>+IF('bono 10a esp'!U28="","",(1+'bono 10a esp'!U28)^('bono 10a esp'!U$6)-1)</f>
        <v/>
      </c>
      <c r="S28" t="str">
        <f>+IF('bono 10a esp'!V28="","",(1+'bono 10a esp'!V28)^('bono 10a esp'!V$6)-1)</f>
        <v/>
      </c>
      <c r="T28" t="str">
        <f>+IF('bono 10a esp'!W28="","",(1+'bono 10a esp'!W28)^('bono 10a esp'!W$6)-1)</f>
        <v/>
      </c>
      <c r="U28" t="str">
        <f>+IF('bono 10a esp'!X28="","",(1+'bono 10a esp'!X28)^('bono 10a esp'!X$6)-1)</f>
        <v/>
      </c>
    </row>
    <row r="29" spans="1:21" x14ac:dyDescent="0.3">
      <c r="A29">
        <f>+'bono 10a esp'!A29</f>
        <v>2021</v>
      </c>
      <c r="B29">
        <f>+IF('bono 10a esp'!E29="","",(1+'bono 10a esp'!E29)^('bono 10a esp'!E$6)-1)</f>
        <v>3.5000000000000586E-3</v>
      </c>
      <c r="C29">
        <f>+IF('bono 10a esp'!F29="","",(1+'bono 10a esp'!F29)^('bono 10a esp'!F$6)-1)</f>
        <v>2.5577000000000183E-2</v>
      </c>
      <c r="D29">
        <f>+IF('bono 10a esp'!G29="","",(1+'bono 10a esp'!G29)^('bono 10a esp'!G$6)-1)</f>
        <v>6.1369637300000335E-2</v>
      </c>
      <c r="E29">
        <f>+IF('bono 10a esp'!H29="","",(1+'bono 10a esp'!H29)^('bono 10a esp'!H$6)-1)</f>
        <v>9.4802780874950532E-2</v>
      </c>
      <c r="F29">
        <f>+IF('bono 10a esp'!I29="","",(1+'bono 10a esp'!I29)^('bono 10a esp'!I$6)-1)</f>
        <v>0.13005543041912393</v>
      </c>
      <c r="G29" t="str">
        <f>+IF('bono 10a esp'!J29="","",(1+'bono 10a esp'!J29)^('bono 10a esp'!J$6)-1)</f>
        <v/>
      </c>
      <c r="H29" t="str">
        <f>+IF('bono 10a esp'!K29="","",(1+'bono 10a esp'!K29)^('bono 10a esp'!K$6)-1)</f>
        <v/>
      </c>
      <c r="I29" t="str">
        <f>+IF('bono 10a esp'!L29="","",(1+'bono 10a esp'!L29)^('bono 10a esp'!L$6)-1)</f>
        <v/>
      </c>
      <c r="J29" t="str">
        <f>+IF('bono 10a esp'!M29="","",(1+'bono 10a esp'!M29)^('bono 10a esp'!M$6)-1)</f>
        <v/>
      </c>
      <c r="K29" t="str">
        <f>+IF('bono 10a esp'!N29="","",(1+'bono 10a esp'!N29)^('bono 10a esp'!N$6)-1)</f>
        <v/>
      </c>
      <c r="L29" t="str">
        <f>+IF('bono 10a esp'!O29="","",(1+'bono 10a esp'!O29)^('bono 10a esp'!O$6)-1)</f>
        <v/>
      </c>
      <c r="M29" t="str">
        <f>+IF('bono 10a esp'!P29="","",(1+'bono 10a esp'!P29)^('bono 10a esp'!P$6)-1)</f>
        <v/>
      </c>
      <c r="N29" t="str">
        <f>+IF('bono 10a esp'!Q29="","",(1+'bono 10a esp'!Q29)^('bono 10a esp'!Q$6)-1)</f>
        <v/>
      </c>
      <c r="O29" t="str">
        <f>+IF('bono 10a esp'!R29="","",(1+'bono 10a esp'!R29)^('bono 10a esp'!R$6)-1)</f>
        <v/>
      </c>
      <c r="P29" t="str">
        <f>+IF('bono 10a esp'!S29="","",(1+'bono 10a esp'!S29)^('bono 10a esp'!S$6)-1)</f>
        <v/>
      </c>
      <c r="Q29" t="str">
        <f>+IF('bono 10a esp'!T29="","",(1+'bono 10a esp'!T29)^('bono 10a esp'!T$6)-1)</f>
        <v/>
      </c>
      <c r="R29" t="str">
        <f>+IF('bono 10a esp'!U29="","",(1+'bono 10a esp'!U29)^('bono 10a esp'!U$6)-1)</f>
        <v/>
      </c>
      <c r="S29" t="str">
        <f>+IF('bono 10a esp'!V29="","",(1+'bono 10a esp'!V29)^('bono 10a esp'!V$6)-1)</f>
        <v/>
      </c>
      <c r="T29" t="str">
        <f>+IF('bono 10a esp'!W29="","",(1+'bono 10a esp'!W29)^('bono 10a esp'!W$6)-1)</f>
        <v/>
      </c>
      <c r="U29" t="str">
        <f>+IF('bono 10a esp'!X29="","",(1+'bono 10a esp'!X29)^('bono 10a esp'!X$6)-1)</f>
        <v/>
      </c>
    </row>
    <row r="30" spans="1:21" x14ac:dyDescent="0.3">
      <c r="A30">
        <f>+'bono 10a esp'!A30</f>
        <v>2022</v>
      </c>
      <c r="B30">
        <f>+IF('bono 10a esp'!E30="","",(1+'bono 10a esp'!E30)^('bono 10a esp'!E$6)-1)</f>
        <v>2.200000000000002E-2</v>
      </c>
      <c r="C30">
        <f>+IF('bono 10a esp'!F30="","",(1+'bono 10a esp'!F30)^('bono 10a esp'!F$6)-1)</f>
        <v>5.7667799999999936E-2</v>
      </c>
      <c r="D30">
        <f>+IF('bono 10a esp'!G30="","",(1+'bono 10a esp'!G30)^('bono 10a esp'!G$6)-1)</f>
        <v>9.0984335699999974E-2</v>
      </c>
      <c r="E30">
        <f>+IF('bono 10a esp'!H30="","",(1+'bono 10a esp'!H30)^('bono 10a esp'!H$6)-1)</f>
        <v>0.12611403130953969</v>
      </c>
      <c r="F30" t="str">
        <f>+IF('bono 10a esp'!I30="","",(1+'bono 10a esp'!I30)^('bono 10a esp'!I$6)-1)</f>
        <v/>
      </c>
      <c r="G30" t="str">
        <f>+IF('bono 10a esp'!J30="","",(1+'bono 10a esp'!J30)^('bono 10a esp'!J$6)-1)</f>
        <v/>
      </c>
      <c r="H30" t="str">
        <f>+IF('bono 10a esp'!K30="","",(1+'bono 10a esp'!K30)^('bono 10a esp'!K$6)-1)</f>
        <v/>
      </c>
      <c r="I30" t="str">
        <f>+IF('bono 10a esp'!L30="","",(1+'bono 10a esp'!L30)^('bono 10a esp'!L$6)-1)</f>
        <v/>
      </c>
      <c r="J30" t="str">
        <f>+IF('bono 10a esp'!M30="","",(1+'bono 10a esp'!M30)^('bono 10a esp'!M$6)-1)</f>
        <v/>
      </c>
      <c r="K30" t="str">
        <f>+IF('bono 10a esp'!N30="","",(1+'bono 10a esp'!N30)^('bono 10a esp'!N$6)-1)</f>
        <v/>
      </c>
      <c r="L30" t="str">
        <f>+IF('bono 10a esp'!O30="","",(1+'bono 10a esp'!O30)^('bono 10a esp'!O$6)-1)</f>
        <v/>
      </c>
      <c r="M30" t="str">
        <f>+IF('bono 10a esp'!P30="","",(1+'bono 10a esp'!P30)^('bono 10a esp'!P$6)-1)</f>
        <v/>
      </c>
      <c r="N30" t="str">
        <f>+IF('bono 10a esp'!Q30="","",(1+'bono 10a esp'!Q30)^('bono 10a esp'!Q$6)-1)</f>
        <v/>
      </c>
      <c r="O30" t="str">
        <f>+IF('bono 10a esp'!R30="","",(1+'bono 10a esp'!R30)^('bono 10a esp'!R$6)-1)</f>
        <v/>
      </c>
      <c r="P30" t="str">
        <f>+IF('bono 10a esp'!S30="","",(1+'bono 10a esp'!S30)^('bono 10a esp'!S$6)-1)</f>
        <v/>
      </c>
      <c r="Q30" t="str">
        <f>+IF('bono 10a esp'!T30="","",(1+'bono 10a esp'!T30)^('bono 10a esp'!T$6)-1)</f>
        <v/>
      </c>
      <c r="R30" t="str">
        <f>+IF('bono 10a esp'!U30="","",(1+'bono 10a esp'!U30)^('bono 10a esp'!U$6)-1)</f>
        <v/>
      </c>
      <c r="S30" t="str">
        <f>+IF('bono 10a esp'!V30="","",(1+'bono 10a esp'!V30)^('bono 10a esp'!V$6)-1)</f>
        <v/>
      </c>
      <c r="T30" t="str">
        <f>+IF('bono 10a esp'!W30="","",(1+'bono 10a esp'!W30)^('bono 10a esp'!W$6)-1)</f>
        <v/>
      </c>
      <c r="U30" t="str">
        <f>+IF('bono 10a esp'!X30="","",(1+'bono 10a esp'!X30)^('bono 10a esp'!X$6)-1)</f>
        <v/>
      </c>
    </row>
    <row r="31" spans="1:21" x14ac:dyDescent="0.3">
      <c r="A31">
        <f>+'bono 10a esp'!A31</f>
        <v>2023</v>
      </c>
      <c r="B31">
        <f>+IF('bono 10a esp'!E31="","",(1+'bono 10a esp'!E31)^('bono 10a esp'!E$6)-1)</f>
        <v>3.4899999999999931E-2</v>
      </c>
      <c r="C31">
        <f>+IF('bono 10a esp'!F31="","",(1+'bono 10a esp'!F31)^('bono 10a esp'!F$6)-1)</f>
        <v>6.7499350000000291E-2</v>
      </c>
      <c r="D31">
        <f>+IF('bono 10a esp'!G31="","",(1+'bono 10a esp'!G31)^('bono 10a esp'!G$6)-1)</f>
        <v>0.10187282907000017</v>
      </c>
      <c r="E31" t="str">
        <f>+IF('bono 10a esp'!H31="","",(1+'bono 10a esp'!H31)^('bono 10a esp'!H$6)-1)</f>
        <v/>
      </c>
      <c r="F31" t="str">
        <f>+IF('bono 10a esp'!I31="","",(1+'bono 10a esp'!I31)^('bono 10a esp'!I$6)-1)</f>
        <v/>
      </c>
      <c r="G31" t="str">
        <f>+IF('bono 10a esp'!J31="","",(1+'bono 10a esp'!J31)^('bono 10a esp'!J$6)-1)</f>
        <v/>
      </c>
      <c r="H31" t="str">
        <f>+IF('bono 10a esp'!K31="","",(1+'bono 10a esp'!K31)^('bono 10a esp'!K$6)-1)</f>
        <v/>
      </c>
      <c r="I31" t="str">
        <f>+IF('bono 10a esp'!L31="","",(1+'bono 10a esp'!L31)^('bono 10a esp'!L$6)-1)</f>
        <v/>
      </c>
      <c r="J31" t="str">
        <f>+IF('bono 10a esp'!M31="","",(1+'bono 10a esp'!M31)^('bono 10a esp'!M$6)-1)</f>
        <v/>
      </c>
      <c r="K31" t="str">
        <f>+IF('bono 10a esp'!N31="","",(1+'bono 10a esp'!N31)^('bono 10a esp'!N$6)-1)</f>
        <v/>
      </c>
      <c r="L31" t="str">
        <f>+IF('bono 10a esp'!O31="","",(1+'bono 10a esp'!O31)^('bono 10a esp'!O$6)-1)</f>
        <v/>
      </c>
      <c r="M31" t="str">
        <f>+IF('bono 10a esp'!P31="","",(1+'bono 10a esp'!P31)^('bono 10a esp'!P$6)-1)</f>
        <v/>
      </c>
      <c r="N31" t="str">
        <f>+IF('bono 10a esp'!Q31="","",(1+'bono 10a esp'!Q31)^('bono 10a esp'!Q$6)-1)</f>
        <v/>
      </c>
      <c r="O31" t="str">
        <f>+IF('bono 10a esp'!R31="","",(1+'bono 10a esp'!R31)^('bono 10a esp'!R$6)-1)</f>
        <v/>
      </c>
      <c r="P31" t="str">
        <f>+IF('bono 10a esp'!S31="","",(1+'bono 10a esp'!S31)^('bono 10a esp'!S$6)-1)</f>
        <v/>
      </c>
      <c r="Q31" t="str">
        <f>+IF('bono 10a esp'!T31="","",(1+'bono 10a esp'!T31)^('bono 10a esp'!T$6)-1)</f>
        <v/>
      </c>
      <c r="R31" t="str">
        <f>+IF('bono 10a esp'!U31="","",(1+'bono 10a esp'!U31)^('bono 10a esp'!U$6)-1)</f>
        <v/>
      </c>
      <c r="S31" t="str">
        <f>+IF('bono 10a esp'!V31="","",(1+'bono 10a esp'!V31)^('bono 10a esp'!V$6)-1)</f>
        <v/>
      </c>
      <c r="T31" t="str">
        <f>+IF('bono 10a esp'!W31="","",(1+'bono 10a esp'!W31)^('bono 10a esp'!W$6)-1)</f>
        <v/>
      </c>
      <c r="U31" t="str">
        <f>+IF('bono 10a esp'!X31="","",(1+'bono 10a esp'!X31)^('bono 10a esp'!X$6)-1)</f>
        <v/>
      </c>
    </row>
    <row r="32" spans="1:21" x14ac:dyDescent="0.3">
      <c r="A32">
        <f>+'bono 10a esp'!A32</f>
        <v>2024</v>
      </c>
      <c r="B32">
        <f>+IF('bono 10a esp'!E32="","",(1+'bono 10a esp'!E32)^('bono 10a esp'!E$6)-1)</f>
        <v>3.1500000000000083E-2</v>
      </c>
      <c r="C32">
        <f>+IF('bono 10a esp'!F32="","",(1+'bono 10a esp'!F32)^('bono 10a esp'!F$6)-1)</f>
        <v>6.4714300000000335E-2</v>
      </c>
      <c r="D32" t="str">
        <f>+IF('bono 10a esp'!G32="","",(1+'bono 10a esp'!G32)^('bono 10a esp'!G$6)-1)</f>
        <v/>
      </c>
      <c r="E32" t="str">
        <f>+IF('bono 10a esp'!H32="","",(1+'bono 10a esp'!H32)^('bono 10a esp'!H$6)-1)</f>
        <v/>
      </c>
      <c r="F32" t="str">
        <f>+IF('bono 10a esp'!I32="","",(1+'bono 10a esp'!I32)^('bono 10a esp'!I$6)-1)</f>
        <v/>
      </c>
      <c r="G32" t="str">
        <f>+IF('bono 10a esp'!J32="","",(1+'bono 10a esp'!J32)^('bono 10a esp'!J$6)-1)</f>
        <v/>
      </c>
      <c r="H32" t="str">
        <f>+IF('bono 10a esp'!K32="","",(1+'bono 10a esp'!K32)^('bono 10a esp'!K$6)-1)</f>
        <v/>
      </c>
      <c r="I32" t="str">
        <f>+IF('bono 10a esp'!L32="","",(1+'bono 10a esp'!L32)^('bono 10a esp'!L$6)-1)</f>
        <v/>
      </c>
      <c r="J32" t="str">
        <f>+IF('bono 10a esp'!M32="","",(1+'bono 10a esp'!M32)^('bono 10a esp'!M$6)-1)</f>
        <v/>
      </c>
      <c r="K32" t="str">
        <f>+IF('bono 10a esp'!N32="","",(1+'bono 10a esp'!N32)^('bono 10a esp'!N$6)-1)</f>
        <v/>
      </c>
      <c r="L32" t="str">
        <f>+IF('bono 10a esp'!O32="","",(1+'bono 10a esp'!O32)^('bono 10a esp'!O$6)-1)</f>
        <v/>
      </c>
      <c r="M32" t="str">
        <f>+IF('bono 10a esp'!P32="","",(1+'bono 10a esp'!P32)^('bono 10a esp'!P$6)-1)</f>
        <v/>
      </c>
      <c r="N32" t="str">
        <f>+IF('bono 10a esp'!Q32="","",(1+'bono 10a esp'!Q32)^('bono 10a esp'!Q$6)-1)</f>
        <v/>
      </c>
      <c r="O32" t="str">
        <f>+IF('bono 10a esp'!R32="","",(1+'bono 10a esp'!R32)^('bono 10a esp'!R$6)-1)</f>
        <v/>
      </c>
      <c r="P32" t="str">
        <f>+IF('bono 10a esp'!S32="","",(1+'bono 10a esp'!S32)^('bono 10a esp'!S$6)-1)</f>
        <v/>
      </c>
      <c r="Q32" t="str">
        <f>+IF('bono 10a esp'!T32="","",(1+'bono 10a esp'!T32)^('bono 10a esp'!T$6)-1)</f>
        <v/>
      </c>
      <c r="R32" t="str">
        <f>+IF('bono 10a esp'!U32="","",(1+'bono 10a esp'!U32)^('bono 10a esp'!U$6)-1)</f>
        <v/>
      </c>
      <c r="S32" t="str">
        <f>+IF('bono 10a esp'!V32="","",(1+'bono 10a esp'!V32)^('bono 10a esp'!V$6)-1)</f>
        <v/>
      </c>
      <c r="T32" t="str">
        <f>+IF('bono 10a esp'!W32="","",(1+'bono 10a esp'!W32)^('bono 10a esp'!W$6)-1)</f>
        <v/>
      </c>
      <c r="U32" t="str">
        <f>+IF('bono 10a esp'!X32="","",(1+'bono 10a esp'!X32)^('bono 10a esp'!X$6)-1)</f>
        <v/>
      </c>
    </row>
    <row r="33" spans="1:21" x14ac:dyDescent="0.3">
      <c r="A33">
        <f>+'bono 10a esp'!A33</f>
        <v>2025</v>
      </c>
      <c r="B33">
        <f>+IF('bono 10a esp'!E33="","",(1+'bono 10a esp'!E33)^('bono 10a esp'!E$6)-1)</f>
        <v>3.2200000000000006E-2</v>
      </c>
      <c r="C33" t="str">
        <f>+IF('bono 10a esp'!F33="","",(1+'bono 10a esp'!F33)^('bono 10a esp'!F$6)-1)</f>
        <v/>
      </c>
      <c r="D33" t="str">
        <f>+IF('bono 10a esp'!G33="","",(1+'bono 10a esp'!G33)^('bono 10a esp'!G$6)-1)</f>
        <v/>
      </c>
      <c r="E33" t="str">
        <f>+IF('bono 10a esp'!H33="","",(1+'bono 10a esp'!H33)^('bono 10a esp'!H$6)-1)</f>
        <v/>
      </c>
      <c r="F33" t="str">
        <f>+IF('bono 10a esp'!I33="","",(1+'bono 10a esp'!I33)^('bono 10a esp'!I$6)-1)</f>
        <v/>
      </c>
      <c r="G33" t="str">
        <f>+IF('bono 10a esp'!J33="","",(1+'bono 10a esp'!J33)^('bono 10a esp'!J$6)-1)</f>
        <v/>
      </c>
      <c r="H33" t="str">
        <f>+IF('bono 10a esp'!K33="","",(1+'bono 10a esp'!K33)^('bono 10a esp'!K$6)-1)</f>
        <v/>
      </c>
      <c r="I33" t="str">
        <f>+IF('bono 10a esp'!L33="","",(1+'bono 10a esp'!L33)^('bono 10a esp'!L$6)-1)</f>
        <v/>
      </c>
      <c r="J33" t="str">
        <f>+IF('bono 10a esp'!M33="","",(1+'bono 10a esp'!M33)^('bono 10a esp'!M$6)-1)</f>
        <v/>
      </c>
      <c r="K33" t="str">
        <f>+IF('bono 10a esp'!N33="","",(1+'bono 10a esp'!N33)^('bono 10a esp'!N$6)-1)</f>
        <v/>
      </c>
      <c r="L33" t="str">
        <f>+IF('bono 10a esp'!O33="","",(1+'bono 10a esp'!O33)^('bono 10a esp'!O$6)-1)</f>
        <v/>
      </c>
      <c r="M33" t="str">
        <f>+IF('bono 10a esp'!P33="","",(1+'bono 10a esp'!P33)^('bono 10a esp'!P$6)-1)</f>
        <v/>
      </c>
      <c r="N33" t="str">
        <f>+IF('bono 10a esp'!Q33="","",(1+'bono 10a esp'!Q33)^('bono 10a esp'!Q$6)-1)</f>
        <v/>
      </c>
      <c r="O33" t="str">
        <f>+IF('bono 10a esp'!R33="","",(1+'bono 10a esp'!R33)^('bono 10a esp'!R$6)-1)</f>
        <v/>
      </c>
      <c r="P33" t="str">
        <f>+IF('bono 10a esp'!S33="","",(1+'bono 10a esp'!S33)^('bono 10a esp'!S$6)-1)</f>
        <v/>
      </c>
      <c r="Q33" t="str">
        <f>+IF('bono 10a esp'!T33="","",(1+'bono 10a esp'!T33)^('bono 10a esp'!T$6)-1)</f>
        <v/>
      </c>
      <c r="R33" t="str">
        <f>+IF('bono 10a esp'!U33="","",(1+'bono 10a esp'!U33)^('bono 10a esp'!U$6)-1)</f>
        <v/>
      </c>
      <c r="S33" t="str">
        <f>+IF('bono 10a esp'!V33="","",(1+'bono 10a esp'!V33)^('bono 10a esp'!V$6)-1)</f>
        <v/>
      </c>
      <c r="T33" t="str">
        <f>+IF('bono 10a esp'!W33="","",(1+'bono 10a esp'!W33)^('bono 10a esp'!W$6)-1)</f>
        <v/>
      </c>
      <c r="U33" t="str">
        <f>+IF('bono 10a esp'!X33="","",(1+'bono 10a esp'!X33)^('bono 10a esp'!X$6)-1)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F1F4-DC81-4CF9-A8C9-7E3860269D21}">
  <dimension ref="A6:U33"/>
  <sheetViews>
    <sheetView tabSelected="1" topLeftCell="A10" workbookViewId="0">
      <selection activeCell="B7" sqref="B7"/>
    </sheetView>
  </sheetViews>
  <sheetFormatPr baseColWidth="10" defaultRowHeight="14.4" x14ac:dyDescent="0.3"/>
  <sheetData>
    <row r="6" spans="1:21" x14ac:dyDescent="0.3">
      <c r="A6" t="s">
        <v>5</v>
      </c>
      <c r="B6" s="10" t="str">
        <f>+CONCATENATE("H_",ipc!E6)</f>
        <v>H_1</v>
      </c>
      <c r="C6" s="10" t="str">
        <f>+CONCATENATE("H_",ipc!F6)</f>
        <v>H_2</v>
      </c>
      <c r="D6" s="10" t="str">
        <f>+CONCATENATE("H_",ipc!G6)</f>
        <v>H_3</v>
      </c>
      <c r="E6" s="10" t="str">
        <f>+CONCATENATE("H_",ipc!H6)</f>
        <v>H_4</v>
      </c>
      <c r="F6" s="10" t="str">
        <f>+CONCATENATE("H_",ipc!I6)</f>
        <v>H_5</v>
      </c>
      <c r="G6" s="10" t="str">
        <f>+CONCATENATE("H_",ipc!J6)</f>
        <v>H_6</v>
      </c>
      <c r="H6" s="10" t="str">
        <f>+CONCATENATE("H_",ipc!K6)</f>
        <v>H_7</v>
      </c>
      <c r="I6" s="10" t="str">
        <f>+CONCATENATE("H_",ipc!L6)</f>
        <v>H_8</v>
      </c>
      <c r="J6" s="10" t="str">
        <f>+CONCATENATE("H_",ipc!M6)</f>
        <v>H_9</v>
      </c>
      <c r="K6" s="10" t="str">
        <f>+CONCATENATE("H_",ipc!N6)</f>
        <v>H_10</v>
      </c>
      <c r="L6" s="10" t="str">
        <f>+CONCATENATE("H_",ipc!O6)</f>
        <v>H_11</v>
      </c>
      <c r="M6" s="10" t="str">
        <f>+CONCATENATE("H_",ipc!P6)</f>
        <v>H_12</v>
      </c>
      <c r="N6" s="10" t="str">
        <f>+CONCATENATE("H_",ipc!Q6)</f>
        <v>H_13</v>
      </c>
      <c r="O6" s="10" t="str">
        <f>+CONCATENATE("H_",ipc!R6)</f>
        <v>H_14</v>
      </c>
      <c r="P6" s="10" t="str">
        <f>+CONCATENATE("H_",ipc!S6)</f>
        <v>H_15</v>
      </c>
      <c r="Q6" s="10" t="str">
        <f>+CONCATENATE("H_",ipc!T6)</f>
        <v>H_16</v>
      </c>
      <c r="R6" s="10" t="str">
        <f>+CONCATENATE("H_",ipc!U6)</f>
        <v>H_17</v>
      </c>
      <c r="S6" s="10" t="str">
        <f>+CONCATENATE("H_",ipc!V6)</f>
        <v>H_18</v>
      </c>
      <c r="T6" s="10" t="str">
        <f>+CONCATENATE("H_",ipc!W6)</f>
        <v>H_19</v>
      </c>
      <c r="U6" s="10" t="str">
        <f>+CONCATENATE("H_",ipc!X6)</f>
        <v>H_20</v>
      </c>
    </row>
    <row r="7" spans="1:21" x14ac:dyDescent="0.3">
      <c r="A7">
        <f>+ipc!A7</f>
        <v>1999</v>
      </c>
      <c r="B7">
        <f>+IF(ipc!E7="","",(1+ipc!E7)^(ipc!E$6)-1)</f>
        <v>2.917699533906104E-2</v>
      </c>
      <c r="C7">
        <f>+IF(ipc!F7="","",(1+ipc!F7)^(ipc!F$6)-1)</f>
        <v>6.9898036950574838E-2</v>
      </c>
      <c r="D7">
        <f>+IF(ipc!G7="","",(1+ipc!G7)^(ipc!G$6)-1)</f>
        <v>9.8874475544110219E-2</v>
      </c>
      <c r="E7">
        <f>+IF(ipc!H7="","",(1+ipc!H7)^(ipc!H$6)-1)</f>
        <v>0.14427648244026425</v>
      </c>
      <c r="F7">
        <f>+IF(ipc!I7="","",(1+ipc!I7)^(ipc!I$6)-1)</f>
        <v>0.17398563569240788</v>
      </c>
      <c r="G7">
        <f>+IF(ipc!J7="","",(1+ipc!J7)^(ipc!J$6)-1)</f>
        <v>0.21191221431216611</v>
      </c>
      <c r="H7">
        <f>+IF(ipc!K7="","",(1+ipc!K7)^(ipc!K$6)-1)</f>
        <v>0.25726608124495964</v>
      </c>
      <c r="I7">
        <f>+IF(ipc!L7="","",(1+ipc!L7)^(ipc!L$6)-1)</f>
        <v>0.29076789235907818</v>
      </c>
      <c r="J7">
        <f>+IF(ipc!M7="","",(1+ipc!M7)^(ipc!M$6)-1)</f>
        <v>0.34528734912497927</v>
      </c>
      <c r="K7">
        <f>+IF(ipc!N7="","",(1+ipc!N7)^(ipc!N$6)-1)</f>
        <v>0.36456669325668822</v>
      </c>
      <c r="L7">
        <f>+IF(ipc!O7="","",(1+ipc!O7)^(ipc!O$6)-1)</f>
        <v>0.37531255719895262</v>
      </c>
      <c r="M7">
        <f>+IF(ipc!P7="","",(1+ipc!P7)^(ipc!P$6)-1)</f>
        <v>0.41639968403702299</v>
      </c>
      <c r="N7">
        <f>+IF(ipc!Q7="","",(1+ipc!Q7)^(ipc!Q$6)-1)</f>
        <v>0.45005952256205806</v>
      </c>
      <c r="O7">
        <f>+IF(ipc!R7="","",(1+ipc!R7)^(ipc!R$6)-1)</f>
        <v>0.49162073163287734</v>
      </c>
      <c r="P7">
        <f>+IF(ipc!S7="","",(1+ipc!S7)^(ipc!S$6)-1)</f>
        <v>0.49541338949485092</v>
      </c>
      <c r="Q7">
        <f>+IF(ipc!T7="","",(1+ipc!T7)^(ipc!T$6)-1)</f>
        <v>0.47992670322511488</v>
      </c>
      <c r="R7">
        <f>+IF(ipc!U7="","",(1+ipc!U7)^(ipc!U$6)-1)</f>
        <v>0.48008473063603319</v>
      </c>
      <c r="S7">
        <f>+IF(ipc!V7="","",(1+ipc!V7)^(ipc!V$6)-1)</f>
        <v>0.50331476004063314</v>
      </c>
      <c r="T7">
        <f>+IF(ipc!W7="","",(1+ipc!W7)^(ipc!W$6)-1)</f>
        <v>0.52006566559769229</v>
      </c>
      <c r="U7">
        <f>+IF(ipc!X7="","",(1+ipc!X7)^(ipc!X$6)-1)</f>
        <v>0.5380807904420768</v>
      </c>
    </row>
    <row r="8" spans="1:21" x14ac:dyDescent="0.3">
      <c r="A8">
        <f>+ipc!A8</f>
        <v>2000</v>
      </c>
      <c r="B8">
        <f>+IF(ipc!E8="","",(1+ipc!E8)^(ipc!E$6)-1)</f>
        <v>3.9566606906228152E-2</v>
      </c>
      <c r="C8">
        <f>+IF(ipc!F8="","",(1+ipc!F8)^(ipc!F$6)-1)</f>
        <v>6.772156832177112E-2</v>
      </c>
      <c r="D8">
        <f>+IF(ipc!G8="","",(1+ipc!G8)^(ipc!G$6)-1)</f>
        <v>0.11183643593129911</v>
      </c>
      <c r="E8">
        <f>+IF(ipc!H8="","",(1+ipc!H8)^(ipc!H$6)-1)</f>
        <v>0.14070333966767312</v>
      </c>
      <c r="F8">
        <f>+IF(ipc!I8="","",(1+ipc!I8)^(ipc!I$6)-1)</f>
        <v>0.17755470613964097</v>
      </c>
      <c r="G8">
        <f>+IF(ipc!J8="","",(1+ipc!J8)^(ipc!J$6)-1)</f>
        <v>0.22162279854570111</v>
      </c>
      <c r="H8">
        <f>+IF(ipc!K8="","",(1+ipc!K8)^(ipc!K$6)-1)</f>
        <v>0.25417483892927173</v>
      </c>
      <c r="I8">
        <f>+IF(ipc!L8="","",(1+ipc!L8)^(ipc!L$6)-1)</f>
        <v>0.30714867823272396</v>
      </c>
      <c r="J8">
        <f>+IF(ipc!M8="","",(1+ipc!M8)^(ipc!M$6)-1)</f>
        <v>0.32588145618930664</v>
      </c>
      <c r="K8">
        <f>+IF(ipc!N8="","",(1+ipc!N8)^(ipc!N$6)-1)</f>
        <v>0.33632267668969718</v>
      </c>
      <c r="L8">
        <f>+IF(ipc!O8="","",(1+ipc!O8)^(ipc!O$6)-1)</f>
        <v>0.37624499036766168</v>
      </c>
      <c r="M8">
        <f>+IF(ipc!P8="","",(1+ipc!P8)^(ipc!P$6)-1)</f>
        <v>0.40895057811153235</v>
      </c>
      <c r="N8">
        <f>+IF(ipc!Q8="","",(1+ipc!Q8)^(ipc!Q$6)-1)</f>
        <v>0.44933353387039543</v>
      </c>
      <c r="O8">
        <f>+IF(ipc!R8="","",(1+ipc!R8)^(ipc!R$6)-1)</f>
        <v>0.45301867051759159</v>
      </c>
      <c r="P8">
        <f>+IF(ipc!S8="","",(1+ipc!S8)^(ipc!S$6)-1)</f>
        <v>0.43797102920820596</v>
      </c>
      <c r="Q8">
        <f>+IF(ipc!T8="","",(1+ipc!T8)^(ipc!T$6)-1)</f>
        <v>0.43812457656850445</v>
      </c>
      <c r="R8">
        <f>+IF(ipc!U8="","",(1+ipc!U8)^(ipc!U$6)-1)</f>
        <v>0.46069603853258401</v>
      </c>
      <c r="S8">
        <f>+IF(ipc!V8="","",(1+ipc!V8)^(ipc!V$6)-1)</f>
        <v>0.47697205872437287</v>
      </c>
      <c r="T8">
        <f>+IF(ipc!W8="","",(1+ipc!W8)^(ipc!W$6)-1)</f>
        <v>0.49447645779855631</v>
      </c>
      <c r="U8">
        <f>+IF(ipc!X8="","",(1+ipc!X8)^(ipc!X$6)-1)</f>
        <v>0.50629960454164458</v>
      </c>
    </row>
    <row r="9" spans="1:21" x14ac:dyDescent="0.3">
      <c r="A9">
        <f>+ipc!A9</f>
        <v>2001</v>
      </c>
      <c r="B9">
        <f>+IF(ipc!E9="","",(1+ipc!E9)^(ipc!E$6)-1)</f>
        <v>2.7083364575678948E-2</v>
      </c>
      <c r="C9">
        <f>+IF(ipc!F9="","",(1+ipc!F9)^(ipc!F$6)-1)</f>
        <v>6.9519190540515474E-2</v>
      </c>
      <c r="D9">
        <f>+IF(ipc!G9="","",(1+ipc!G9)^(ipc!G$6)-1)</f>
        <v>9.7287400431637749E-2</v>
      </c>
      <c r="E9">
        <f>+IF(ipc!H9="","",(1+ipc!H9)^(ipc!H$6)-1)</f>
        <v>0.1327361790160495</v>
      </c>
      <c r="F9">
        <f>+IF(ipc!I9="","",(1+ipc!I9)^(ipc!I$6)-1)</f>
        <v>0.17512701007324161</v>
      </c>
      <c r="G9">
        <f>+IF(ipc!J9="","",(1+ipc!J9)^(ipc!J$6)-1)</f>
        <v>0.20644009782280537</v>
      </c>
      <c r="H9">
        <f>+IF(ipc!K9="","",(1+ipc!K9)^(ipc!K$6)-1)</f>
        <v>0.25739771703789716</v>
      </c>
      <c r="I9">
        <f>+IF(ipc!L9="","",(1+ipc!L9)^(ipc!L$6)-1)</f>
        <v>0.27541751281830473</v>
      </c>
      <c r="J9">
        <f>+IF(ipc!M9="","",(1+ipc!M9)^(ipc!M$6)-1)</f>
        <v>0.28546133341722069</v>
      </c>
      <c r="K9">
        <f>+IF(ipc!N9="","",(1+ipc!N9)^(ipc!N$6)-1)</f>
        <v>0.32386417688366631</v>
      </c>
      <c r="L9">
        <f>+IF(ipc!O9="","",(1+ipc!O9)^(ipc!O$6)-1)</f>
        <v>0.35532496787733114</v>
      </c>
      <c r="M9">
        <f>+IF(ipc!P9="","",(1+ipc!P9)^(ipc!P$6)-1)</f>
        <v>0.39417092107608398</v>
      </c>
      <c r="N9">
        <f>+IF(ipc!Q9="","",(1+ipc!Q9)^(ipc!Q$6)-1)</f>
        <v>0.39771579893452347</v>
      </c>
      <c r="O9">
        <f>+IF(ipc!R9="","",(1+ipc!R9)^(ipc!R$6)-1)</f>
        <v>0.38324088101255871</v>
      </c>
      <c r="P9">
        <f>+IF(ipc!S9="","",(1+ipc!S9)^(ipc!S$6)-1)</f>
        <v>0.38338858425665623</v>
      </c>
      <c r="Q9">
        <f>+IF(ipc!T9="","",(1+ipc!T9)^(ipc!T$6)-1)</f>
        <v>0.40510096113961103</v>
      </c>
      <c r="R9">
        <f>+IF(ipc!U9="","",(1+ipc!U9)^(ipc!U$6)-1)</f>
        <v>0.42075750501439102</v>
      </c>
      <c r="S9">
        <f>+IF(ipc!V9="","",(1+ipc!V9)^(ipc!V$6)-1)</f>
        <v>0.43759567484198736</v>
      </c>
      <c r="T9">
        <f>+IF(ipc!W9="","",(1+ipc!W9)^(ipc!W$6)-1)</f>
        <v>0.44896882463781718</v>
      </c>
      <c r="U9">
        <f>+IF(ipc!X9="","",(1+ipc!X9)^(ipc!X$6)-1)</f>
        <v>0.44114055270043084</v>
      </c>
    </row>
    <row r="10" spans="1:21" x14ac:dyDescent="0.3">
      <c r="A10">
        <f>+ipc!A10</f>
        <v>2002</v>
      </c>
      <c r="B10">
        <f>+IF(ipc!E10="","",(1+ipc!E10)^(ipc!E$6)-1)</f>
        <v>4.1316827268804923E-2</v>
      </c>
      <c r="C10">
        <f>+IF(ipc!F10="","",(1+ipc!F10)^(ipc!F$6)-1)</f>
        <v>6.8352811735941543E-2</v>
      </c>
      <c r="D10">
        <f>+IF(ipc!G10="","",(1+ipc!G10)^(ipc!G$6)-1)</f>
        <v>0.10286683445994549</v>
      </c>
      <c r="E10">
        <f>+IF(ipc!H10="","",(1+ipc!H10)^(ipc!H$6)-1)</f>
        <v>0.14413985330073387</v>
      </c>
      <c r="F10">
        <f>+IF(ipc!I10="","",(1+ipc!I10)^(ipc!I$6)-1)</f>
        <v>0.17462724004027064</v>
      </c>
      <c r="G10">
        <f>+IF(ipc!J10="","",(1+ipc!J10)^(ipc!J$6)-1)</f>
        <v>0.22424114770602666</v>
      </c>
      <c r="H10">
        <f>+IF(ipc!K10="","",(1+ipc!K10)^(ipc!K$6)-1)</f>
        <v>0.24178577592406048</v>
      </c>
      <c r="I10">
        <f>+IF(ipc!L10="","",(1+ipc!L10)^(ipc!L$6)-1)</f>
        <v>0.25156474902919568</v>
      </c>
      <c r="J10">
        <f>+IF(ipc!M10="","",(1+ipc!M10)^(ipc!M$6)-1)</f>
        <v>0.2889549403135323</v>
      </c>
      <c r="K10">
        <f>+IF(ipc!N10="","",(1+ipc!N10)^(ipc!N$6)-1)</f>
        <v>0.31958613548108694</v>
      </c>
      <c r="L10">
        <f>+IF(ipc!O10="","",(1+ipc!O10)^(ipc!O$6)-1)</f>
        <v>0.35740775204947584</v>
      </c>
      <c r="M10">
        <f>+IF(ipc!P10="","",(1+ipc!P10)^(ipc!P$6)-1)</f>
        <v>0.3608591543218751</v>
      </c>
      <c r="N10">
        <f>+IF(ipc!Q10="","",(1+ipc!Q10)^(ipc!Q$6)-1)</f>
        <v>0.34676592837623965</v>
      </c>
      <c r="O10">
        <f>+IF(ipc!R10="","",(1+ipc!R10)^(ipc!R$6)-1)</f>
        <v>0.34690973680425619</v>
      </c>
      <c r="P10">
        <f>+IF(ipc!S10="","",(1+ipc!S10)^(ipc!S$6)-1)</f>
        <v>0.36804957572271002</v>
      </c>
      <c r="Q10">
        <f>+IF(ipc!T10="","",(1+ipc!T10)^(ipc!T$6)-1)</f>
        <v>0.38329326909247863</v>
      </c>
      <c r="R10">
        <f>+IF(ipc!U10="","",(1+ipc!U10)^(ipc!U$6)-1)</f>
        <v>0.39968742988637729</v>
      </c>
      <c r="S10">
        <f>+IF(ipc!V10="","",(1+ipc!V10)^(ipc!V$6)-1)</f>
        <v>0.41076067884366396</v>
      </c>
      <c r="T10">
        <f>+IF(ipc!W10="","",(1+ipc!W10)^(ipc!W$6)-1)</f>
        <v>0.4031388321587781</v>
      </c>
      <c r="U10">
        <f>+IF(ipc!X10="","",(1+ipc!X10)^(ipc!X$6)-1)</f>
        <v>0.49517622608945788</v>
      </c>
    </row>
    <row r="11" spans="1:21" x14ac:dyDescent="0.3">
      <c r="A11">
        <f>+ipc!A11</f>
        <v>2003</v>
      </c>
      <c r="B11">
        <f>+IF(ipc!E11="","",(1+ipc!E11)^(ipc!E$6)-1)</f>
        <v>2.5963264742439041E-2</v>
      </c>
      <c r="C11">
        <f>+IF(ipc!F11="","",(1+ipc!F11)^(ipc!F$6)-1)</f>
        <v>5.9107858030658544E-2</v>
      </c>
      <c r="D11">
        <f>+IF(ipc!G11="","",(1+ipc!G11)^(ipc!G$6)-1)</f>
        <v>9.8743267504488585E-2</v>
      </c>
      <c r="E11">
        <f>+IF(ipc!H11="","",(1+ipc!H11)^(ipc!H$6)-1)</f>
        <v>0.12802099157574864</v>
      </c>
      <c r="F11">
        <f>+IF(ipc!I11="","",(1+ipc!I11)^(ipc!I$6)-1)</f>
        <v>0.17566634442756546</v>
      </c>
      <c r="G11">
        <f>+IF(ipc!J11="","",(1+ipc!J11)^(ipc!J$6)-1)</f>
        <v>0.19251484601574353</v>
      </c>
      <c r="H11">
        <f>+IF(ipc!K11="","",(1+ipc!K11)^(ipc!K$6)-1)</f>
        <v>0.20190581411407238</v>
      </c>
      <c r="I11">
        <f>+IF(ipc!L11="","",(1+ipc!L11)^(ipc!L$6)-1)</f>
        <v>0.23781245684297758</v>
      </c>
      <c r="J11">
        <f>+IF(ipc!M11="","",(1+ipc!M11)^(ipc!M$6)-1)</f>
        <v>0.26722828338627136</v>
      </c>
      <c r="K11">
        <f>+IF(ipc!N11="","",(1+ipc!N11)^(ipc!N$6)-1)</f>
        <v>0.30354923353127994</v>
      </c>
      <c r="L11">
        <f>+IF(ipc!O11="","",(1+ipc!O11)^(ipc!O$6)-1)</f>
        <v>0.30686369286010073</v>
      </c>
      <c r="M11">
        <f>+IF(ipc!P11="","",(1+ipc!P11)^(ipc!P$6)-1)</f>
        <v>0.29332965060074612</v>
      </c>
      <c r="N11">
        <f>+IF(ipc!Q11="","",(1+ipc!Q11)^(ipc!Q$6)-1)</f>
        <v>0.29346775307277984</v>
      </c>
      <c r="O11">
        <f>+IF(ipc!R11="","",(1+ipc!R11)^(ipc!R$6)-1)</f>
        <v>0.31376881646181443</v>
      </c>
      <c r="P11">
        <f>+IF(ipc!S11="","",(1+ipc!S11)^(ipc!S$6)-1)</f>
        <v>0.32840767849744679</v>
      </c>
      <c r="Q11">
        <f>+IF(ipc!T11="","",(1+ipc!T11)^(ipc!T$6)-1)</f>
        <v>0.34415136030934623</v>
      </c>
      <c r="R11">
        <f>+IF(ipc!U11="","",(1+ipc!U11)^(ipc!U$6)-1)</f>
        <v>0.35478525065598543</v>
      </c>
      <c r="S11">
        <f>+IF(ipc!V11="","",(1+ipc!V11)^(ipc!V$6)-1)</f>
        <v>0.34746581963817391</v>
      </c>
      <c r="T11">
        <f>+IF(ipc!W11="","",(1+ipc!W11)^(ipc!W$6)-1)</f>
        <v>0.43585140174008852</v>
      </c>
      <c r="U11">
        <f>+IF(ipc!X11="","",(1+ipc!X11)^(ipc!X$6)-1)</f>
        <v>0.51774616765640369</v>
      </c>
    </row>
    <row r="12" spans="1:21" x14ac:dyDescent="0.3">
      <c r="A12">
        <f>+ipc!A12</f>
        <v>2004</v>
      </c>
      <c r="B12">
        <f>+IF(ipc!E12="","",(1+ipc!E12)^(ipc!E$6)-1)</f>
        <v>3.2305828509893608E-2</v>
      </c>
      <c r="C12">
        <f>+IF(ipc!F12="","",(1+ipc!F12)^(ipc!F$6)-1)</f>
        <v>7.0938215102974489E-2</v>
      </c>
      <c r="D12">
        <f>+IF(ipc!G12="","",(1+ipc!G12)^(ipc!G$6)-1)</f>
        <v>9.9475030286714228E-2</v>
      </c>
      <c r="E12">
        <f>+IF(ipc!H12="","",(1+ipc!H12)^(ipc!H$6)-1)</f>
        <v>0.14591465876968646</v>
      </c>
      <c r="F12">
        <f>+IF(ipc!I12="","",(1+ipc!I12)^(ipc!I$6)-1)</f>
        <v>0.16233678826221554</v>
      </c>
      <c r="G12">
        <f>+IF(ipc!J12="","",(1+ipc!J12)^(ipc!J$6)-1)</f>
        <v>0.17149010634001893</v>
      </c>
      <c r="H12">
        <f>+IF(ipc!K12="","",(1+ipc!K12)^(ipc!K$6)-1)</f>
        <v>0.20648808722573642</v>
      </c>
      <c r="I12">
        <f>+IF(ipc!L12="","",(1+ipc!L12)^(ipc!L$6)-1)</f>
        <v>0.23515951002826752</v>
      </c>
      <c r="J12">
        <f>+IF(ipc!M12="","",(1+ipc!M12)^(ipc!M$6)-1)</f>
        <v>0.27056131377035864</v>
      </c>
      <c r="K12">
        <f>+IF(ipc!N12="","",(1+ipc!N12)^(ipc!N$6)-1)</f>
        <v>0.2737918966213484</v>
      </c>
      <c r="L12">
        <f>+IF(ipc!O12="","",(1+ipc!O12)^(ipc!O$6)-1)</f>
        <v>0.26060034997980686</v>
      </c>
      <c r="M12">
        <f>+IF(ipc!P12="","",(1+ipc!P12)^(ipc!P$6)-1)</f>
        <v>0.26073495759859866</v>
      </c>
      <c r="N12">
        <f>+IF(ipc!Q12="","",(1+ipc!Q12)^(ipc!Q$6)-1)</f>
        <v>0.28052227756090931</v>
      </c>
      <c r="O12">
        <f>+IF(ipc!R12="","",(1+ipc!R12)^(ipc!R$6)-1)</f>
        <v>0.29479068515277973</v>
      </c>
      <c r="P12">
        <f>+IF(ipc!S12="","",(1+ipc!S12)^(ipc!S$6)-1)</f>
        <v>0.31013595369497771</v>
      </c>
      <c r="Q12">
        <f>+IF(ipc!T12="","",(1+ipc!T12)^(ipc!T$6)-1)</f>
        <v>0.32050074034190046</v>
      </c>
      <c r="R12">
        <f>+IF(ipc!U12="","",(1+ipc!U12)^(ipc!U$6)-1)</f>
        <v>0.3133665365459688</v>
      </c>
      <c r="S12">
        <f>+IF(ipc!V12="","",(1+ipc!V12)^(ipc!V$6)-1)</f>
        <v>0.39951541257235346</v>
      </c>
      <c r="T12">
        <f>+IF(ipc!W12="","",(1+ipc!W12)^(ipc!W$6)-1)</f>
        <v>0.47933773051554684</v>
      </c>
      <c r="U12">
        <f>+IF(ipc!X12="","",(1+ipc!X12)^(ipc!X$6)-1)</f>
        <v>0.52523892852335297</v>
      </c>
    </row>
    <row r="13" spans="1:21" x14ac:dyDescent="0.3">
      <c r="A13">
        <f>+ipc!A13</f>
        <v>2005</v>
      </c>
      <c r="B13">
        <f>+IF(ipc!E13="","",(1+ipc!E13)^(ipc!E$6)-1)</f>
        <v>3.742339288042773E-2</v>
      </c>
      <c r="C13">
        <f>+IF(ipc!F13="","",(1+ipc!F13)^(ipc!F$6)-1)</f>
        <v>6.506715347502956E-2</v>
      </c>
      <c r="D13">
        <f>+IF(ipc!G13="","",(1+ipc!G13)^(ipc!G$6)-1)</f>
        <v>0.11005346198982879</v>
      </c>
      <c r="E13">
        <f>+IF(ipc!H13="","",(1+ipc!H13)^(ipc!H$6)-1)</f>
        <v>0.12596166384143936</v>
      </c>
      <c r="F13">
        <f>+IF(ipc!I13="","",(1+ipc!I13)^(ipc!I$6)-1)</f>
        <v>0.13482853044725518</v>
      </c>
      <c r="G13">
        <f>+IF(ipc!J13="","",(1+ipc!J13)^(ipc!J$6)-1)</f>
        <v>0.16873125570478487</v>
      </c>
      <c r="H13">
        <f>+IF(ipc!K13="","",(1+ipc!K13)^(ipc!K$6)-1)</f>
        <v>0.19650541139653122</v>
      </c>
      <c r="I13">
        <f>+IF(ipc!L13="","",(1+ipc!L13)^(ipc!L$6)-1)</f>
        <v>0.23079932194549468</v>
      </c>
      <c r="J13">
        <f>+IF(ipc!M13="","",(1+ipc!M13)^(ipc!M$6)-1)</f>
        <v>0.23392880427695828</v>
      </c>
      <c r="K13">
        <f>+IF(ipc!N13="","",(1+ipc!N13)^(ipc!N$6)-1)</f>
        <v>0.22115008475681286</v>
      </c>
      <c r="L13">
        <f>+IF(ipc!O13="","",(1+ipc!O13)^(ipc!O$6)-1)</f>
        <v>0.22128047985395827</v>
      </c>
      <c r="M13">
        <f>+IF(ipc!P13="","",(1+ipc!P13)^(ipc!P$6)-1)</f>
        <v>0.24044855913417607</v>
      </c>
      <c r="N13">
        <f>+IF(ipc!Q13="","",(1+ipc!Q13)^(ipc!Q$6)-1)</f>
        <v>0.25427043943147609</v>
      </c>
      <c r="O13">
        <f>+IF(ipc!R13="","",(1+ipc!R13)^(ipc!R$6)-1)</f>
        <v>0.26913548050593339</v>
      </c>
      <c r="P13">
        <f>+IF(ipc!S13="","",(1+ipc!S13)^(ipc!S$6)-1)</f>
        <v>0.27917590298604589</v>
      </c>
      <c r="Q13">
        <f>+IF(ipc!T13="","",(1+ipc!T13)^(ipc!T$6)-1)</f>
        <v>0.2722649628373961</v>
      </c>
      <c r="R13">
        <f>+IF(ipc!U13="","",(1+ipc!U13)^(ipc!U$6)-1)</f>
        <v>0.35571782500978211</v>
      </c>
      <c r="S13">
        <f>+IF(ipc!V13="","",(1+ipc!V13)^(ipc!V$6)-1)</f>
        <v>0.43304211761637879</v>
      </c>
      <c r="T13">
        <f>+IF(ipc!W13="","",(1+ipc!W13)^(ipc!W$6)-1)</f>
        <v>0.47750684574260305</v>
      </c>
      <c r="U13">
        <f>+IF(ipc!X13="","",(1+ipc!X13)^(ipc!X$6)-1)</f>
        <v>0.51949406702307899</v>
      </c>
    </row>
    <row r="14" spans="1:21" x14ac:dyDescent="0.3">
      <c r="A14">
        <f>+ipc!A14</f>
        <v>2006</v>
      </c>
      <c r="B14">
        <f>+IF(ipc!E14="","",(1+ipc!E14)^(ipc!E$6)-1)</f>
        <v>2.6646556058320892E-2</v>
      </c>
      <c r="C14">
        <f>+IF(ipc!F14="","",(1+ipc!F14)^(ipc!F$6)-1)</f>
        <v>7.0010055304172925E-2</v>
      </c>
      <c r="D14">
        <f>+IF(ipc!G14="","",(1+ipc!G14)^(ipc!G$6)-1)</f>
        <v>8.5344394167923721E-2</v>
      </c>
      <c r="E14">
        <f>+IF(ipc!H14="","",(1+ipc!H14)^(ipc!H$6)-1)</f>
        <v>9.3891402714932237E-2</v>
      </c>
      <c r="F14">
        <f>+IF(ipc!I14="","",(1+ipc!I14)^(ipc!I$6)-1)</f>
        <v>0.12657114127702362</v>
      </c>
      <c r="G14">
        <f>+IF(ipc!J14="","",(1+ipc!J14)^(ipc!J$6)-1)</f>
        <v>0.15334338863750663</v>
      </c>
      <c r="H14">
        <f>+IF(ipc!K14="","",(1+ipc!K14)^(ipc!K$6)-1)</f>
        <v>0.18640020110608435</v>
      </c>
      <c r="I14">
        <f>+IF(ipc!L14="","",(1+ipc!L14)^(ipc!L$6)-1)</f>
        <v>0.18941679235796816</v>
      </c>
      <c r="J14">
        <f>+IF(ipc!M14="","",(1+ipc!M14)^(ipc!M$6)-1)</f>
        <v>0.17709904474610272</v>
      </c>
      <c r="K14">
        <f>+IF(ipc!N14="","",(1+ipc!N14)^(ipc!N$6)-1)</f>
        <v>0.1772247360482655</v>
      </c>
      <c r="L14">
        <f>+IF(ipc!O14="","",(1+ipc!O14)^(ipc!O$6)-1)</f>
        <v>0.19570135746606465</v>
      </c>
      <c r="M14">
        <f>+IF(ipc!P14="","",(1+ipc!P14)^(ipc!P$6)-1)</f>
        <v>0.20902463549522476</v>
      </c>
      <c r="N14">
        <f>+IF(ipc!Q14="","",(1+ipc!Q14)^(ipc!Q$6)-1)</f>
        <v>0.22335344394168022</v>
      </c>
      <c r="O14">
        <f>+IF(ipc!R14="","",(1+ipc!R14)^(ipc!R$6)-1)</f>
        <v>0.23303167420814574</v>
      </c>
      <c r="P14">
        <f>+IF(ipc!S14="","",(1+ipc!S14)^(ipc!S$6)-1)</f>
        <v>0.22637003519356358</v>
      </c>
      <c r="Q14">
        <f>+IF(ipc!T14="","",(1+ipc!T14)^(ipc!T$6)-1)</f>
        <v>0.30681246857717559</v>
      </c>
      <c r="R14">
        <f>+IF(ipc!U14="","",(1+ipc!U14)^(ipc!U$6)-1)</f>
        <v>0.381347410759175</v>
      </c>
      <c r="S14">
        <f>+IF(ipc!V14="","",(1+ipc!V14)^(ipc!V$6)-1)</f>
        <v>0.42420814479638191</v>
      </c>
      <c r="T14">
        <f>+IF(ipc!W14="","",(1+ipc!W14)^(ipc!W$6)-1)</f>
        <v>0.46468074409250981</v>
      </c>
      <c r="U14">
        <f>+IF(ipc!X14="","",(1+ipc!X14)^(ipc!X$6)-1)</f>
        <v>0.50912239756380906</v>
      </c>
    </row>
    <row r="15" spans="1:21" x14ac:dyDescent="0.3">
      <c r="A15">
        <f>+ipc!A15</f>
        <v>2007</v>
      </c>
      <c r="B15">
        <f>+IF(ipc!E15="","",(1+ipc!E15)^(ipc!E$6)-1)</f>
        <v>4.2238001958863736E-2</v>
      </c>
      <c r="C15">
        <f>+IF(ipc!F15="","",(1+ipc!F15)^(ipc!F$6)-1)</f>
        <v>5.7174338883447362E-2</v>
      </c>
      <c r="D15">
        <f>+IF(ipc!G15="","",(1+ipc!G15)^(ipc!G$6)-1)</f>
        <v>6.5499510284035001E-2</v>
      </c>
      <c r="E15">
        <f>+IF(ipc!H15="","",(1+ipc!H15)^(ipc!H$6)-1)</f>
        <v>9.7331047992163633E-2</v>
      </c>
      <c r="F15">
        <f>+IF(ipc!I15="","",(1+ipc!I15)^(ipc!I$6)-1)</f>
        <v>0.12340842311459288</v>
      </c>
      <c r="G15">
        <f>+IF(ipc!J15="","",(1+ipc!J15)^(ipc!J$6)-1)</f>
        <v>0.15560724779627866</v>
      </c>
      <c r="H15">
        <f>+IF(ipc!K15="","",(1+ipc!K15)^(ipc!K$6)-1)</f>
        <v>0.15854554358471984</v>
      </c>
      <c r="I15">
        <f>+IF(ipc!L15="","",(1+ipc!L15)^(ipc!L$6)-1)</f>
        <v>0.14654750244857939</v>
      </c>
      <c r="J15">
        <f>+IF(ipc!M15="","",(1+ipc!M15)^(ipc!M$6)-1)</f>
        <v>0.14666993143976259</v>
      </c>
      <c r="K15">
        <f>+IF(ipc!N15="","",(1+ipc!N15)^(ipc!N$6)-1)</f>
        <v>0.16466699314397482</v>
      </c>
      <c r="L15">
        <f>+IF(ipc!O15="","",(1+ipc!O15)^(ipc!O$6)-1)</f>
        <v>0.17764446620959728</v>
      </c>
      <c r="M15">
        <f>+IF(ipc!P15="","",(1+ipc!P15)^(ipc!P$6)-1)</f>
        <v>0.19160137120470022</v>
      </c>
      <c r="N15">
        <f>+IF(ipc!Q15="","",(1+ipc!Q15)^(ipc!Q$6)-1)</f>
        <v>0.20102840352595353</v>
      </c>
      <c r="O15">
        <f>+IF(ipc!R15="","",(1+ipc!R15)^(ipc!R$6)-1)</f>
        <v>0.19453966699314229</v>
      </c>
      <c r="P15">
        <f>+IF(ipc!S15="","",(1+ipc!S15)^(ipc!S$6)-1)</f>
        <v>0.27289422135161656</v>
      </c>
      <c r="Q15">
        <f>+IF(ipc!T15="","",(1+ipc!T15)^(ipc!T$6)-1)</f>
        <v>0.34549461312438878</v>
      </c>
      <c r="R15">
        <f>+IF(ipc!U15="","",(1+ipc!U15)^(ipc!U$6)-1)</f>
        <v>0.38724289911850884</v>
      </c>
      <c r="S15">
        <f>+IF(ipc!V15="","",(1+ipc!V15)^(ipc!V$6)-1)</f>
        <v>0.42666503428012015</v>
      </c>
      <c r="T15">
        <f>+IF(ipc!W15="","",(1+ipc!W15)^(ipc!W$6)-1)</f>
        <v>0.46995320702958643</v>
      </c>
      <c r="U15" t="str">
        <f>+IF(ipc!X15="","",(1+ipc!X15)^(ipc!X$6)-1)</f>
        <v/>
      </c>
    </row>
    <row r="16" spans="1:21" x14ac:dyDescent="0.3">
      <c r="A16">
        <f>+ipc!A16</f>
        <v>2008</v>
      </c>
      <c r="B16">
        <f>+IF(ipc!E16="","",(1+ipc!E16)^(ipc!E$6)-1)</f>
        <v>1.4331023141078258E-2</v>
      </c>
      <c r="C16">
        <f>+IF(ipc!F16="","",(1+ipc!F16)^(ipc!F$6)-1)</f>
        <v>2.2318806531187674E-2</v>
      </c>
      <c r="D16">
        <f>+IF(ipc!G16="","",(1+ipc!G16)^(ipc!G$6)-1)</f>
        <v>5.2860331258075988E-2</v>
      </c>
      <c r="E16">
        <f>+IF(ipc!H16="","",(1+ipc!H16)^(ipc!H$6)-1)</f>
        <v>7.7880888053565078E-2</v>
      </c>
      <c r="F16">
        <f>+IF(ipc!I16="","",(1+ipc!I16)^(ipc!I$6)-1)</f>
        <v>0.10877481498884034</v>
      </c>
      <c r="G16">
        <f>+IF(ipc!J16="","",(1+ipc!J16)^(ipc!J$6)-1)</f>
        <v>0.11159403265593837</v>
      </c>
      <c r="H16">
        <f>+IF(ipc!K16="","",(1+ipc!K16)^(ipc!K$6)-1)</f>
        <v>0.10008222718195703</v>
      </c>
      <c r="I16">
        <f>+IF(ipc!L16="","",(1+ipc!L16)^(ipc!L$6)-1)</f>
        <v>0.1001996945847532</v>
      </c>
      <c r="J16">
        <f>+IF(ipc!M16="","",(1+ipc!M16)^(ipc!M$6)-1)</f>
        <v>0.1174674027957241</v>
      </c>
      <c r="K16">
        <f>+IF(ipc!N16="","",(1+ipc!N16)^(ipc!N$6)-1)</f>
        <v>0.12991894749207056</v>
      </c>
      <c r="L16">
        <f>+IF(ipc!O16="","",(1+ipc!O16)^(ipc!O$6)-1)</f>
        <v>0.14331023141078458</v>
      </c>
      <c r="M16">
        <f>+IF(ipc!P16="","",(1+ipc!P16)^(ipc!P$6)-1)</f>
        <v>0.15235522142605507</v>
      </c>
      <c r="N16">
        <f>+IF(ipc!Q16="","",(1+ipc!Q16)^(ipc!Q$6)-1)</f>
        <v>0.14612944907788039</v>
      </c>
      <c r="O16">
        <f>+IF(ipc!R16="","",(1+ipc!R16)^(ipc!R$6)-1)</f>
        <v>0.2213085868671445</v>
      </c>
      <c r="P16">
        <f>+IF(ipc!S16="","",(1+ipc!S16)^(ipc!S$6)-1)</f>
        <v>0.29096675672501005</v>
      </c>
      <c r="Q16">
        <f>+IF(ipc!T16="","",(1+ipc!T16)^(ipc!T$6)-1)</f>
        <v>0.33102314107835018</v>
      </c>
      <c r="R16">
        <f>+IF(ipc!U16="","",(1+ipc!U16)^(ipc!U$6)-1)</f>
        <v>0.36884764477857157</v>
      </c>
      <c r="S16">
        <f>+IF(ipc!V16="","",(1+ipc!V16)^(ipc!V$6)-1)</f>
        <v>0.41038151004553969</v>
      </c>
      <c r="T16" t="str">
        <f>+IF(ipc!W16="","",(1+ipc!W16)^(ipc!W$6)-1)</f>
        <v/>
      </c>
      <c r="U16" t="str">
        <f>+IF(ipc!X16="","",(1+ipc!X16)^(ipc!X$6)-1)</f>
        <v/>
      </c>
    </row>
    <row r="17" spans="1:21" x14ac:dyDescent="0.3">
      <c r="A17">
        <f>+ipc!A17</f>
        <v>2009</v>
      </c>
      <c r="B17">
        <f>+IF(ipc!E17="","",(1+ipc!E17)^(ipc!E$6)-1)</f>
        <v>7.8749276201506291E-3</v>
      </c>
      <c r="C17">
        <f>+IF(ipc!F17="","",(1+ipc!F17)^(ipc!F$6)-1)</f>
        <v>3.7984944991314329E-2</v>
      </c>
      <c r="D17">
        <f>+IF(ipc!G17="","",(1+ipc!G17)^(ipc!G$6)-1)</f>
        <v>6.2651997683844662E-2</v>
      </c>
      <c r="E17">
        <f>+IF(ipc!H17="","",(1+ipc!H17)^(ipc!H$6)-1)</f>
        <v>9.3109438332368066E-2</v>
      </c>
      <c r="F17">
        <f>+IF(ipc!I17="","",(1+ipc!I17)^(ipc!I$6)-1)</f>
        <v>9.5888824551245255E-2</v>
      </c>
      <c r="G17">
        <f>+IF(ipc!J17="","",(1+ipc!J17)^(ipc!J$6)-1)</f>
        <v>8.4539664157497585E-2</v>
      </c>
      <c r="H17">
        <f>+IF(ipc!K17="","",(1+ipc!K17)^(ipc!K$6)-1)</f>
        <v>8.4655471916618374E-2</v>
      </c>
      <c r="I17">
        <f>+IF(ipc!L17="","",(1+ipc!L17)^(ipc!L$6)-1)</f>
        <v>0.10167921250723699</v>
      </c>
      <c r="J17">
        <f>+IF(ipc!M17="","",(1+ipc!M17)^(ipc!M$6)-1)</f>
        <v>0.11395483497394232</v>
      </c>
      <c r="K17">
        <f>+IF(ipc!N17="","",(1+ipc!N17)^(ipc!N$6)-1)</f>
        <v>0.12715691951360819</v>
      </c>
      <c r="L17">
        <f>+IF(ipc!O17="","",(1+ipc!O17)^(ipc!O$6)-1)</f>
        <v>0.13607411696583793</v>
      </c>
      <c r="M17">
        <f>+IF(ipc!P17="","",(1+ipc!P17)^(ipc!P$6)-1)</f>
        <v>0.12993630573248383</v>
      </c>
      <c r="N17">
        <f>+IF(ipc!Q17="","",(1+ipc!Q17)^(ipc!Q$6)-1)</f>
        <v>0.20405327156919495</v>
      </c>
      <c r="O17">
        <f>+IF(ipc!R17="","",(1+ipc!R17)^(ipc!R$6)-1)</f>
        <v>0.27272727272727315</v>
      </c>
      <c r="P17">
        <f>+IF(ipc!S17="","",(1+ipc!S17)^(ipc!S$6)-1)</f>
        <v>0.31221771858714686</v>
      </c>
      <c r="Q17">
        <f>+IF(ipc!T17="","",(1+ipc!T17)^(ipc!T$6)-1)</f>
        <v>0.34950781702374312</v>
      </c>
      <c r="R17">
        <f>+IF(ipc!U17="","",(1+ipc!U17)^(ipc!U$6)-1)</f>
        <v>0.39045486913927974</v>
      </c>
      <c r="S17" t="str">
        <f>+IF(ipc!V17="","",(1+ipc!V17)^(ipc!V$6)-1)</f>
        <v/>
      </c>
      <c r="T17" t="str">
        <f>+IF(ipc!W17="","",(1+ipc!W17)^(ipc!W$6)-1)</f>
        <v/>
      </c>
      <c r="U17" t="str">
        <f>+IF(ipc!X17="","",(1+ipc!X17)^(ipc!X$6)-1)</f>
        <v/>
      </c>
    </row>
    <row r="18" spans="1:21" x14ac:dyDescent="0.3">
      <c r="A18">
        <f>+ipc!A18</f>
        <v>2010</v>
      </c>
      <c r="B18">
        <f>+IF(ipc!E18="","",(1+ipc!E18)^(ipc!E$6)-1)</f>
        <v>2.9874755831322375E-2</v>
      </c>
      <c r="C18">
        <f>+IF(ipc!F18="","",(1+ipc!F18)^(ipc!F$6)-1)</f>
        <v>5.4349075031597804E-2</v>
      </c>
      <c r="D18">
        <f>+IF(ipc!G18="","",(1+ipc!G18)^(ipc!G$6)-1)</f>
        <v>8.4568539584051416E-2</v>
      </c>
      <c r="E18">
        <f>+IF(ipc!H18="","",(1+ipc!H18)^(ipc!H$6)-1)</f>
        <v>8.7326209353096429E-2</v>
      </c>
      <c r="F18">
        <f>+IF(ipc!I18="","",(1+ipc!I18)^(ipc!I$6)-1)</f>
        <v>7.6065724462828666E-2</v>
      </c>
      <c r="G18">
        <f>+IF(ipc!J18="","",(1+ipc!J18)^(ipc!J$6)-1)</f>
        <v>7.6180627369871523E-2</v>
      </c>
      <c r="H18">
        <f>+IF(ipc!K18="","",(1+ipc!K18)^(ipc!K$6)-1)</f>
        <v>9.3071354705274389E-2</v>
      </c>
      <c r="I18">
        <f>+IF(ipc!L18="","",(1+ipc!L18)^(ipc!L$6)-1)</f>
        <v>0.10525106285188901</v>
      </c>
      <c r="J18">
        <f>+IF(ipc!M18="","",(1+ipc!M18)^(ipc!M$6)-1)</f>
        <v>0.1183499942548536</v>
      </c>
      <c r="K18">
        <f>+IF(ipc!N18="","",(1+ipc!N18)^(ipc!N$6)-1)</f>
        <v>0.1271975180972067</v>
      </c>
      <c r="L18">
        <f>+IF(ipc!O18="","",(1+ipc!O18)^(ipc!O$6)-1)</f>
        <v>0.12110766402390083</v>
      </c>
      <c r="M18">
        <f>+IF(ipc!P18="","",(1+ipc!P18)^(ipc!P$6)-1)</f>
        <v>0.19464552453177042</v>
      </c>
      <c r="N18">
        <f>+IF(ipc!Q18="","",(1+ipc!Q18)^(ipc!Q$6)-1)</f>
        <v>0.26278294840859551</v>
      </c>
      <c r="O18">
        <f>+IF(ipc!R18="","",(1+ipc!R18)^(ipc!R$6)-1)</f>
        <v>0.30196483971044219</v>
      </c>
      <c r="P18">
        <f>+IF(ipc!S18="","",(1+ipc!S18)^(ipc!S$6)-1)</f>
        <v>0.33896357577846725</v>
      </c>
      <c r="Q18">
        <f>+IF(ipc!T18="","",(1+ipc!T18)^(ipc!T$6)-1)</f>
        <v>0.3795906922920449</v>
      </c>
      <c r="R18" t="str">
        <f>+IF(ipc!U18="","",(1+ipc!U18)^(ipc!U$6)-1)</f>
        <v/>
      </c>
      <c r="S18" t="str">
        <f>+IF(ipc!V18="","",(1+ipc!V18)^(ipc!V$6)-1)</f>
        <v/>
      </c>
      <c r="T18" t="str">
        <f>+IF(ipc!W18="","",(1+ipc!W18)^(ipc!W$6)-1)</f>
        <v/>
      </c>
      <c r="U18" t="str">
        <f>+IF(ipc!X18="","",(1+ipc!X18)^(ipc!X$6)-1)</f>
        <v/>
      </c>
    </row>
    <row r="19" spans="1:21" x14ac:dyDescent="0.3">
      <c r="A19">
        <f>+ipc!A19</f>
        <v>2011</v>
      </c>
      <c r="B19">
        <f>+IF(ipc!E19="","",(1+ipc!E19)^(ipc!E$6)-1)</f>
        <v>2.3764364610063593E-2</v>
      </c>
      <c r="C19">
        <f>+IF(ipc!F19="","",(1+ipc!F19)^(ipc!F$6)-1)</f>
        <v>5.3107218565212833E-2</v>
      </c>
      <c r="D19">
        <f>+IF(ipc!G19="","",(1+ipc!G19)^(ipc!G$6)-1)</f>
        <v>5.5784893450853357E-2</v>
      </c>
      <c r="E19">
        <f>+IF(ipc!H19="","",(1+ipc!H19)^(ipc!H$6)-1)</f>
        <v>4.4851054334485996E-2</v>
      </c>
      <c r="F19">
        <f>+IF(ipc!I19="","",(1+ipc!I19)^(ipc!I$6)-1)</f>
        <v>4.4962624121387407E-2</v>
      </c>
      <c r="G19">
        <f>+IF(ipc!J19="","",(1+ipc!J19)^(ipc!J$6)-1)</f>
        <v>6.1363382795938781E-2</v>
      </c>
      <c r="H19">
        <f>+IF(ipc!K19="","",(1+ipc!K19)^(ipc!K$6)-1)</f>
        <v>7.3189780207520316E-2</v>
      </c>
      <c r="I19">
        <f>+IF(ipc!L19="","",(1+ipc!L19)^(ipc!L$6)-1)</f>
        <v>8.5908735914315137E-2</v>
      </c>
      <c r="J19">
        <f>+IF(ipc!M19="","",(1+ipc!M19)^(ipc!M$6)-1)</f>
        <v>9.4499609505745985E-2</v>
      </c>
      <c r="K19">
        <f>+IF(ipc!N19="","",(1+ipc!N19)^(ipc!N$6)-1)</f>
        <v>8.8586410799955884E-2</v>
      </c>
      <c r="L19">
        <f>+IF(ipc!O19="","",(1+ipc!O19)^(ipc!O$6)-1)</f>
        <v>0.15999107441704763</v>
      </c>
      <c r="M19">
        <f>+IF(ipc!P19="","",(1+ipc!P19)^(ipc!P$6)-1)</f>
        <v>0.22615195804975929</v>
      </c>
      <c r="N19">
        <f>+IF(ipc!Q19="","",(1+ipc!Q19)^(ipc!Q$6)-1)</f>
        <v>0.26419725538324168</v>
      </c>
      <c r="O19">
        <f>+IF(ipc!R19="","",(1+ipc!R19)^(ipc!R$6)-1)</f>
        <v>0.30012272676559126</v>
      </c>
      <c r="P19">
        <f>+IF(ipc!S19="","",(1+ipc!S19)^(ipc!S$6)-1)</f>
        <v>0.33957132600888995</v>
      </c>
      <c r="Q19" t="str">
        <f>+IF(ipc!T19="","",(1+ipc!T19)^(ipc!T$6)-1)</f>
        <v/>
      </c>
      <c r="R19" t="str">
        <f>+IF(ipc!U19="","",(1+ipc!U19)^(ipc!U$6)-1)</f>
        <v/>
      </c>
      <c r="S19" t="str">
        <f>+IF(ipc!V19="","",(1+ipc!V19)^(ipc!V$6)-1)</f>
        <v/>
      </c>
      <c r="T19" t="str">
        <f>+IF(ipc!W19="","",(1+ipc!W19)^(ipc!W$6)-1)</f>
        <v/>
      </c>
      <c r="U19" t="str">
        <f>+IF(ipc!X19="","",(1+ipc!X19)^(ipc!X$6)-1)</f>
        <v/>
      </c>
    </row>
    <row r="20" spans="1:21" x14ac:dyDescent="0.3">
      <c r="A20">
        <f>+ipc!A20</f>
        <v>2012</v>
      </c>
      <c r="B20">
        <f>+IF(ipc!E20="","",(1+ipc!E20)^(ipc!E$6)-1)</f>
        <v>2.8661726242371399E-2</v>
      </c>
      <c r="C20">
        <f>+IF(ipc!F20="","",(1+ipc!F20)^(ipc!F$6)-1)</f>
        <v>3.1277244986922303E-2</v>
      </c>
      <c r="D20">
        <f>+IF(ipc!G20="","",(1+ipc!G20)^(ipc!G$6)-1)</f>
        <v>2.0597210113339148E-2</v>
      </c>
      <c r="E20">
        <f>+IF(ipc!H20="","",(1+ipc!H20)^(ipc!H$6)-1)</f>
        <v>2.0706190061029028E-2</v>
      </c>
      <c r="F20">
        <f>+IF(ipc!I20="","",(1+ipc!I20)^(ipc!I$6)-1)</f>
        <v>3.6726242371403872E-2</v>
      </c>
      <c r="G20">
        <f>+IF(ipc!J20="","",(1+ipc!J20)^(ipc!J$6)-1)</f>
        <v>4.8278116826503403E-2</v>
      </c>
      <c r="H20">
        <f>+IF(ipc!K20="","",(1+ipc!K20)^(ipc!K$6)-1)</f>
        <v>6.0701830863122197E-2</v>
      </c>
      <c r="I20">
        <f>+IF(ipc!L20="","",(1+ipc!L20)^(ipc!L$6)-1)</f>
        <v>6.90932868352232E-2</v>
      </c>
      <c r="J20">
        <f>+IF(ipc!M20="","",(1+ipc!M20)^(ipc!M$6)-1)</f>
        <v>6.3317349607672657E-2</v>
      </c>
      <c r="K20">
        <f>+IF(ipc!N20="","",(1+ipc!N20)^(ipc!N$6)-1)</f>
        <v>0.13306451612903358</v>
      </c>
      <c r="L20">
        <f>+IF(ipc!O20="","",(1+ipc!O20)^(ipc!O$6)-1)</f>
        <v>0.19768962510897947</v>
      </c>
      <c r="M20">
        <f>+IF(ipc!P20="","",(1+ipc!P20)^(ipc!P$6)-1)</f>
        <v>0.23485178727114309</v>
      </c>
      <c r="N20">
        <f>+IF(ipc!Q20="","",(1+ipc!Q20)^(ipc!Q$6)-1)</f>
        <v>0.2699433304272012</v>
      </c>
      <c r="O20">
        <f>+IF(ipc!R20="","",(1+ipc!R20)^(ipc!R$6)-1)</f>
        <v>0.30847622003243957</v>
      </c>
      <c r="P20" t="str">
        <f>+IF(ipc!S20="","",(1+ipc!S20)^(ipc!S$6)-1)</f>
        <v/>
      </c>
      <c r="Q20" t="str">
        <f>+IF(ipc!T20="","",(1+ipc!T20)^(ipc!T$6)-1)</f>
        <v/>
      </c>
      <c r="R20" t="str">
        <f>+IF(ipc!U20="","",(1+ipc!U20)^(ipc!U$6)-1)</f>
        <v/>
      </c>
      <c r="S20" t="str">
        <f>+IF(ipc!V20="","",(1+ipc!V20)^(ipc!V$6)-1)</f>
        <v/>
      </c>
      <c r="T20" t="str">
        <f>+IF(ipc!W20="","",(1+ipc!W20)^(ipc!W$6)-1)</f>
        <v/>
      </c>
      <c r="U20" t="str">
        <f>+IF(ipc!X20="","",(1+ipc!X20)^(ipc!X$6)-1)</f>
        <v/>
      </c>
    </row>
    <row r="21" spans="1:21" x14ac:dyDescent="0.3">
      <c r="A21">
        <f>+ipc!A21</f>
        <v>2013</v>
      </c>
      <c r="B21">
        <f>+IF(ipc!E21="","",(1+ipc!E21)^(ipc!E$6)-1)</f>
        <v>2.542642229049541E-3</v>
      </c>
      <c r="C21">
        <f>+IF(ipc!F21="","",(1+ipc!F21)^(ipc!F$6)-1)</f>
        <v>-7.8398135395699731E-3</v>
      </c>
      <c r="D21">
        <f>+IF(ipc!G21="","",(1+ipc!G21)^(ipc!G$6)-1)</f>
        <v>-7.7338701133594645E-3</v>
      </c>
      <c r="E21">
        <f>+IF(ipc!H21="","",(1+ipc!H21)^(ipc!H$6)-1)</f>
        <v>7.8398135395700841E-3</v>
      </c>
      <c r="F21">
        <f>+IF(ipc!I21="","",(1+ipc!I21)^(ipc!I$6)-1)</f>
        <v>1.9069816717872445E-2</v>
      </c>
      <c r="G21">
        <f>+IF(ipc!J21="","",(1+ipc!J21)^(ipc!J$6)-1)</f>
        <v>3.1147367305859097E-2</v>
      </c>
      <c r="H21">
        <f>+IF(ipc!K21="","",(1+ipc!K21)^(ipc!K$6)-1)</f>
        <v>3.9305011124059819E-2</v>
      </c>
      <c r="I21">
        <f>+IF(ipc!L21="","",(1+ipc!L21)^(ipc!L$6)-1)</f>
        <v>3.369000953490886E-2</v>
      </c>
      <c r="J21">
        <f>+IF(ipc!M21="","",(1+ipc!M21)^(ipc!M$6)-1)</f>
        <v>0.10149380230956617</v>
      </c>
      <c r="K21">
        <f>+IF(ipc!N21="","",(1+ipc!N21)^(ipc!N$6)-1)</f>
        <v>0.16431825405233713</v>
      </c>
      <c r="L21">
        <f>+IF(ipc!O21="","",(1+ipc!O21)^(ipc!O$6)-1)</f>
        <v>0.20044496239008391</v>
      </c>
      <c r="M21">
        <f>+IF(ipc!P21="","",(1+ipc!P21)^(ipc!P$6)-1)</f>
        <v>0.2345587456298337</v>
      </c>
      <c r="N21">
        <f>+IF(ipc!Q21="","",(1+ipc!Q21)^(ipc!Q$6)-1)</f>
        <v>0.2720179886659253</v>
      </c>
      <c r="O21" t="str">
        <f>+IF(ipc!R21="","",(1+ipc!R21)^(ipc!R$6)-1)</f>
        <v/>
      </c>
      <c r="P21" t="str">
        <f>+IF(ipc!S21="","",(1+ipc!S21)^(ipc!S$6)-1)</f>
        <v/>
      </c>
      <c r="Q21" t="str">
        <f>+IF(ipc!T21="","",(1+ipc!T21)^(ipc!T$6)-1)</f>
        <v/>
      </c>
      <c r="R21" t="str">
        <f>+IF(ipc!U21="","",(1+ipc!U21)^(ipc!U$6)-1)</f>
        <v/>
      </c>
      <c r="S21" t="str">
        <f>+IF(ipc!V21="","",(1+ipc!V21)^(ipc!V$6)-1)</f>
        <v/>
      </c>
      <c r="T21" t="str">
        <f>+IF(ipc!W21="","",(1+ipc!W21)^(ipc!W$6)-1)</f>
        <v/>
      </c>
      <c r="U21" t="str">
        <f>+IF(ipc!X21="","",(1+ipc!X21)^(ipc!X$6)-1)</f>
        <v/>
      </c>
    </row>
    <row r="22" spans="1:21" x14ac:dyDescent="0.3">
      <c r="A22">
        <f>+ipc!A22</f>
        <v>2014</v>
      </c>
      <c r="B22">
        <f>+IF(ipc!E22="","",(1+ipc!E22)^(ipc!E$6)-1)</f>
        <v>-1.0356123850787213E-2</v>
      </c>
      <c r="C22">
        <f>+IF(ipc!F22="","",(1+ipc!F22)^(ipc!F$6)-1)</f>
        <v>-1.0250449117615967E-2</v>
      </c>
      <c r="D22">
        <f>+IF(ipc!G22="","",(1+ipc!G22)^(ipc!G$6)-1)</f>
        <v>5.2837366585647416E-3</v>
      </c>
      <c r="E22">
        <f>+IF(ipc!H22="","",(1+ipc!H22)^(ipc!H$6)-1)</f>
        <v>1.6485258374723033E-2</v>
      </c>
      <c r="F22">
        <f>+IF(ipc!I22="","",(1+ipc!I22)^(ipc!I$6)-1)</f>
        <v>2.8532177956250626E-2</v>
      </c>
      <c r="G22">
        <f>+IF(ipc!J22="","",(1+ipc!J22)^(ipc!J$6)-1)</f>
        <v>3.6669132410441563E-2</v>
      </c>
      <c r="H22">
        <f>+IF(ipc!K22="","",(1+ipc!K22)^(ipc!K$6)-1)</f>
        <v>3.1068371552362528E-2</v>
      </c>
      <c r="I22">
        <f>+IF(ipc!L22="","",(1+ipc!L22)^(ipc!L$6)-1)</f>
        <v>9.8700200781992375E-2</v>
      </c>
      <c r="J22">
        <f>+IF(ipc!M22="","",(1+ipc!M22)^(ipc!M$6)-1)</f>
        <v>0.16136531755257288</v>
      </c>
      <c r="K22">
        <f>+IF(ipc!N22="","",(1+ipc!N22)^(ipc!N$6)-1)</f>
        <v>0.19740040156398653</v>
      </c>
      <c r="L22">
        <f>+IF(ipc!O22="","",(1+ipc!O22)^(ipc!O$6)-1)</f>
        <v>0.23142766564514461</v>
      </c>
      <c r="M22">
        <f>+IF(ipc!P22="","",(1+ipc!P22)^(ipc!P$6)-1)</f>
        <v>0.26879190478893356</v>
      </c>
      <c r="N22" t="str">
        <f>+IF(ipc!Q22="","",(1+ipc!Q22)^(ipc!Q$6)-1)</f>
        <v/>
      </c>
      <c r="O22" t="str">
        <f>+IF(ipc!R22="","",(1+ipc!R22)^(ipc!R$6)-1)</f>
        <v/>
      </c>
      <c r="P22" t="str">
        <f>+IF(ipc!S22="","",(1+ipc!S22)^(ipc!S$6)-1)</f>
        <v/>
      </c>
      <c r="Q22" t="str">
        <f>+IF(ipc!T22="","",(1+ipc!T22)^(ipc!T$6)-1)</f>
        <v/>
      </c>
      <c r="R22" t="str">
        <f>+IF(ipc!U22="","",(1+ipc!U22)^(ipc!U$6)-1)</f>
        <v/>
      </c>
      <c r="S22" t="str">
        <f>+IF(ipc!V22="","",(1+ipc!V22)^(ipc!V$6)-1)</f>
        <v/>
      </c>
      <c r="T22" t="str">
        <f>+IF(ipc!W22="","",(1+ipc!W22)^(ipc!W$6)-1)</f>
        <v/>
      </c>
      <c r="U22" t="str">
        <f>+IF(ipc!X22="","",(1+ipc!X22)^(ipc!X$6)-1)</f>
        <v/>
      </c>
    </row>
    <row r="23" spans="1:21" x14ac:dyDescent="0.3">
      <c r="A23">
        <f>+ipc!A23</f>
        <v>2015</v>
      </c>
      <c r="B23">
        <f>+IF(ipc!E23="","",(1+ipc!E23)^(ipc!E$6)-1)</f>
        <v>1.0678056593693697E-4</v>
      </c>
      <c r="C23">
        <f>+IF(ipc!F23="","",(1+ipc!F23)^(ipc!F$6)-1)</f>
        <v>1.5803523758675997E-2</v>
      </c>
      <c r="D23">
        <f>+IF(ipc!G23="","",(1+ipc!G23)^(ipc!G$6)-1)</f>
        <v>2.7122263747997977E-2</v>
      </c>
      <c r="E23">
        <f>+IF(ipc!H23="","",(1+ipc!H23)^(ipc!H$6)-1)</f>
        <v>3.9295248264815896E-2</v>
      </c>
      <c r="F23">
        <f>+IF(ipc!I23="","",(1+ipc!I23)^(ipc!I$6)-1)</f>
        <v>4.7517351841964928E-2</v>
      </c>
      <c r="G23">
        <f>+IF(ipc!J23="","",(1+ipc!J23)^(ipc!J$6)-1)</f>
        <v>4.1857981847303494E-2</v>
      </c>
      <c r="H23">
        <f>+IF(ipc!K23="","",(1+ipc!K23)^(ipc!K$6)-1)</f>
        <v>0.11019754404698356</v>
      </c>
      <c r="I23">
        <f>+IF(ipc!L23="","",(1+ipc!L23)^(ipc!L$6)-1)</f>
        <v>0.17351841964762538</v>
      </c>
      <c r="J23">
        <f>+IF(ipc!M23="","",(1+ipc!M23)^(ipc!M$6)-1)</f>
        <v>0.20993059263214064</v>
      </c>
      <c r="K23">
        <f>+IF(ipc!N23="","",(1+ipc!N23)^(ipc!N$6)-1)</f>
        <v>0.24431393486385455</v>
      </c>
      <c r="L23">
        <f>+IF(ipc!O23="","",(1+ipc!O23)^(ipc!O$6)-1)</f>
        <v>0.2820691719185966</v>
      </c>
      <c r="M23" t="str">
        <f>+IF(ipc!P23="","",(1+ipc!P23)^(ipc!P$6)-1)</f>
        <v/>
      </c>
      <c r="N23" t="str">
        <f>+IF(ipc!Q23="","",(1+ipc!Q23)^(ipc!Q$6)-1)</f>
        <v/>
      </c>
      <c r="O23" t="str">
        <f>+IF(ipc!R23="","",(1+ipc!R23)^(ipc!R$6)-1)</f>
        <v/>
      </c>
      <c r="P23" t="str">
        <f>+IF(ipc!S23="","",(1+ipc!S23)^(ipc!S$6)-1)</f>
        <v/>
      </c>
      <c r="Q23" t="str">
        <f>+IF(ipc!T23="","",(1+ipc!T23)^(ipc!T$6)-1)</f>
        <v/>
      </c>
      <c r="R23" t="str">
        <f>+IF(ipc!U23="","",(1+ipc!U23)^(ipc!U$6)-1)</f>
        <v/>
      </c>
      <c r="S23" t="str">
        <f>+IF(ipc!V23="","",(1+ipc!V23)^(ipc!V$6)-1)</f>
        <v/>
      </c>
      <c r="T23" t="str">
        <f>+IF(ipc!W23="","",(1+ipc!W23)^(ipc!W$6)-1)</f>
        <v/>
      </c>
      <c r="U23" t="str">
        <f>+IF(ipc!X23="","",(1+ipc!X23)^(ipc!X$6)-1)</f>
        <v/>
      </c>
    </row>
    <row r="24" spans="1:21" x14ac:dyDescent="0.3">
      <c r="A24">
        <f>+ipc!A24</f>
        <v>2016</v>
      </c>
      <c r="B24">
        <f>+IF(ipc!E24="","",(1+ipc!E24)^(ipc!E$6)-1)</f>
        <v>1.5695067264573925E-2</v>
      </c>
      <c r="C24">
        <f>+IF(ipc!F24="","",(1+ipc!F24)^(ipc!F$6)-1)</f>
        <v>2.7012598761477769E-2</v>
      </c>
      <c r="D24">
        <f>+IF(ipc!G24="","",(1+ipc!G24)^(ipc!G$6)-1)</f>
        <v>3.9184283578902246E-2</v>
      </c>
      <c r="E24">
        <f>+IF(ipc!H24="","",(1+ipc!H24)^(ipc!H$6)-1)</f>
        <v>4.7405509288917402E-2</v>
      </c>
      <c r="F24">
        <f>+IF(ipc!I24="","",(1+ipc!I24)^(ipc!I$6)-1)</f>
        <v>4.1746743540465259E-2</v>
      </c>
      <c r="G24">
        <f>+IF(ipc!J24="","",(1+ipc!J24)^(ipc!J$6)-1)</f>
        <v>0.11007900918214752</v>
      </c>
      <c r="H24">
        <f>+IF(ipc!K24="","",(1+ipc!K24)^(ipc!K$6)-1)</f>
        <v>0.17339312406577045</v>
      </c>
      <c r="I24">
        <f>+IF(ipc!L24="","",(1+ipc!L24)^(ipc!L$6)-1)</f>
        <v>0.20980140935297831</v>
      </c>
      <c r="J24">
        <f>+IF(ipc!M24="","",(1+ipc!M24)^(ipc!M$6)-1)</f>
        <v>0.24418108050394927</v>
      </c>
      <c r="K24">
        <f>+IF(ipc!N24="","",(1+ipc!N24)^(ipc!N$6)-1)</f>
        <v>0.28193228646355695</v>
      </c>
      <c r="L24" t="str">
        <f>+IF(ipc!O24="","",(1+ipc!O24)^(ipc!O$6)-1)</f>
        <v/>
      </c>
      <c r="M24" t="str">
        <f>+IF(ipc!P24="","",(1+ipc!P24)^(ipc!P$6)-1)</f>
        <v/>
      </c>
      <c r="N24" t="str">
        <f>+IF(ipc!Q24="","",(1+ipc!Q24)^(ipc!Q$6)-1)</f>
        <v/>
      </c>
      <c r="O24" t="str">
        <f>+IF(ipc!R24="","",(1+ipc!R24)^(ipc!R$6)-1)</f>
        <v/>
      </c>
      <c r="P24" t="str">
        <f>+IF(ipc!S24="","",(1+ipc!S24)^(ipc!S$6)-1)</f>
        <v/>
      </c>
      <c r="Q24" t="str">
        <f>+IF(ipc!T24="","",(1+ipc!T24)^(ipc!T$6)-1)</f>
        <v/>
      </c>
      <c r="R24" t="str">
        <f>+IF(ipc!U24="","",(1+ipc!U24)^(ipc!U$6)-1)</f>
        <v/>
      </c>
      <c r="S24" t="str">
        <f>+IF(ipc!V24="","",(1+ipc!V24)^(ipc!V$6)-1)</f>
        <v/>
      </c>
      <c r="T24" t="str">
        <f>+IF(ipc!W24="","",(1+ipc!W24)^(ipc!W$6)-1)</f>
        <v/>
      </c>
      <c r="U24" t="str">
        <f>+IF(ipc!X24="","",(1+ipc!X24)^(ipc!X$6)-1)</f>
        <v/>
      </c>
    </row>
    <row r="25" spans="1:21" x14ac:dyDescent="0.3">
      <c r="A25">
        <f>+ipc!A25</f>
        <v>2017</v>
      </c>
      <c r="B25">
        <f>+IF(ipc!E25="","",(1+ipc!E25)^(ipc!E$6)-1)</f>
        <v>1.1142646904236386E-2</v>
      </c>
      <c r="C25">
        <f>+IF(ipc!F25="","",(1+ipc!F25)^(ipc!F$6)-1)</f>
        <v>2.3126248291811313E-2</v>
      </c>
      <c r="D25">
        <f>+IF(ipc!G25="","",(1+ipc!G25)^(ipc!G$6)-1)</f>
        <v>3.1220435193945351E-2</v>
      </c>
      <c r="E25">
        <f>+IF(ipc!H25="","",(1+ipc!H25)^(ipc!H$6)-1)</f>
        <v>2.5649111741826713E-2</v>
      </c>
      <c r="F25">
        <f>+IF(ipc!I25="","",(1+ipc!I25)^(ipc!I$6)-1)</f>
        <v>9.2925470408914634E-2</v>
      </c>
      <c r="G25">
        <f>+IF(ipc!J25="","",(1+ipc!J25)^(ipc!J$6)-1)</f>
        <v>0.15526122148638666</v>
      </c>
      <c r="H25">
        <f>+IF(ipc!K25="","",(1+ipc!K25)^(ipc!K$6)-1)</f>
        <v>0.19110690633869498</v>
      </c>
      <c r="I25">
        <f>+IF(ipc!L25="","",(1+ipc!L25)^(ipc!L$6)-1)</f>
        <v>0.2249553242930733</v>
      </c>
      <c r="J25">
        <f>+IF(ipc!M25="","",(1+ipc!M25)^(ipc!M$6)-1)</f>
        <v>0.26212317828420817</v>
      </c>
      <c r="K25" t="str">
        <f>+IF(ipc!N25="","",(1+ipc!N25)^(ipc!N$6)-1)</f>
        <v/>
      </c>
      <c r="L25" t="str">
        <f>+IF(ipc!O25="","",(1+ipc!O25)^(ipc!O$6)-1)</f>
        <v/>
      </c>
      <c r="M25" t="str">
        <f>+IF(ipc!P25="","",(1+ipc!P25)^(ipc!P$6)-1)</f>
        <v/>
      </c>
      <c r="N25" t="str">
        <f>+IF(ipc!Q25="","",(1+ipc!Q25)^(ipc!Q$6)-1)</f>
        <v/>
      </c>
      <c r="O25" t="str">
        <f>+IF(ipc!R25="","",(1+ipc!R25)^(ipc!R$6)-1)</f>
        <v/>
      </c>
      <c r="P25" t="str">
        <f>+IF(ipc!S25="","",(1+ipc!S25)^(ipc!S$6)-1)</f>
        <v/>
      </c>
      <c r="Q25" t="str">
        <f>+IF(ipc!T25="","",(1+ipc!T25)^(ipc!T$6)-1)</f>
        <v/>
      </c>
      <c r="R25" t="str">
        <f>+IF(ipc!U25="","",(1+ipc!U25)^(ipc!U$6)-1)</f>
        <v/>
      </c>
      <c r="S25" t="str">
        <f>+IF(ipc!V25="","",(1+ipc!V25)^(ipc!V$6)-1)</f>
        <v/>
      </c>
      <c r="T25" t="str">
        <f>+IF(ipc!W25="","",(1+ipc!W25)^(ipc!W$6)-1)</f>
        <v/>
      </c>
      <c r="U25" t="str">
        <f>+IF(ipc!X25="","",(1+ipc!X25)^(ipc!X$6)-1)</f>
        <v/>
      </c>
    </row>
    <row r="26" spans="1:21" x14ac:dyDescent="0.3">
      <c r="A26">
        <f>+ipc!A26</f>
        <v>2018</v>
      </c>
      <c r="B26">
        <f>+IF(ipc!E26="","",(1+ipc!E26)^(ipc!E$6)-1)</f>
        <v>1.1851543819523913E-2</v>
      </c>
      <c r="C26">
        <f>+IF(ipc!F26="","",(1+ipc!F26)^(ipc!F$6)-1)</f>
        <v>1.9856533943237054E-2</v>
      </c>
      <c r="D26">
        <f>+IF(ipc!G26="","",(1+ipc!G26)^(ipc!G$6)-1)</f>
        <v>1.4346605676266E-2</v>
      </c>
      <c r="E26">
        <f>+IF(ipc!H26="","",(1+ipc!H26)^(ipc!H$6)-1)</f>
        <v>8.0881588522715875E-2</v>
      </c>
      <c r="F26">
        <f>+IF(ipc!I26="","",(1+ipc!I26)^(ipc!I$6)-1)</f>
        <v>0.14253040856637944</v>
      </c>
      <c r="G26">
        <f>+IF(ipc!J26="","",(1+ipc!J26)^(ipc!J$6)-1)</f>
        <v>0.17798107911425309</v>
      </c>
      <c r="H26">
        <f>+IF(ipc!K26="","",(1+ipc!K26)^(ipc!K$6)-1)</f>
        <v>0.21145649235887354</v>
      </c>
      <c r="I26">
        <f>+IF(ipc!L26="","",(1+ipc!L26)^(ipc!L$6)-1)</f>
        <v>0.24821476193135261</v>
      </c>
      <c r="J26" t="str">
        <f>+IF(ipc!M26="","",(1+ipc!M26)^(ipc!M$6)-1)</f>
        <v/>
      </c>
      <c r="K26" t="str">
        <f>+IF(ipc!N26="","",(1+ipc!N26)^(ipc!N$6)-1)</f>
        <v/>
      </c>
      <c r="L26" t="str">
        <f>+IF(ipc!O26="","",(1+ipc!O26)^(ipc!O$6)-1)</f>
        <v/>
      </c>
      <c r="M26" t="str">
        <f>+IF(ipc!P26="","",(1+ipc!P26)^(ipc!P$6)-1)</f>
        <v/>
      </c>
      <c r="N26" t="str">
        <f>+IF(ipc!Q26="","",(1+ipc!Q26)^(ipc!Q$6)-1)</f>
        <v/>
      </c>
      <c r="O26" t="str">
        <f>+IF(ipc!R26="","",(1+ipc!R26)^(ipc!R$6)-1)</f>
        <v/>
      </c>
      <c r="P26" t="str">
        <f>+IF(ipc!S26="","",(1+ipc!S26)^(ipc!S$6)-1)</f>
        <v/>
      </c>
      <c r="Q26" t="str">
        <f>+IF(ipc!T26="","",(1+ipc!T26)^(ipc!T$6)-1)</f>
        <v/>
      </c>
      <c r="R26" t="str">
        <f>+IF(ipc!U26="","",(1+ipc!U26)^(ipc!U$6)-1)</f>
        <v/>
      </c>
      <c r="S26" t="str">
        <f>+IF(ipc!V26="","",(1+ipc!V26)^(ipc!V$6)-1)</f>
        <v/>
      </c>
      <c r="T26" t="str">
        <f>+IF(ipc!W26="","",(1+ipc!W26)^(ipc!W$6)-1)</f>
        <v/>
      </c>
      <c r="U26" t="str">
        <f>+IF(ipc!X26="","",(1+ipc!X26)^(ipc!X$6)-1)</f>
        <v/>
      </c>
    </row>
    <row r="27" spans="1:21" x14ac:dyDescent="0.3">
      <c r="A27">
        <f>+ipc!A27</f>
        <v>2019</v>
      </c>
      <c r="B27">
        <f>+IF(ipc!E27="","",(1+ipc!E27)^(ipc!E$6)-1)</f>
        <v>7.9112298366381673E-3</v>
      </c>
      <c r="C27">
        <f>+IF(ipc!F27="","",(1+ipc!F27)^(ipc!F$6)-1)</f>
        <v>2.4658378711597262E-3</v>
      </c>
      <c r="D27">
        <f>+IF(ipc!G27="","",(1+ipc!G27)^(ipc!G$6)-1)</f>
        <v>6.8221514435425901E-2</v>
      </c>
      <c r="E27">
        <f>+IF(ipc!H27="","",(1+ipc!H27)^(ipc!H$6)-1)</f>
        <v>0.1291482585020034</v>
      </c>
      <c r="F27">
        <f>+IF(ipc!I27="","",(1+ipc!I27)^(ipc!I$6)-1)</f>
        <v>0.16418370492140077</v>
      </c>
      <c r="G27">
        <f>+IF(ipc!J27="","",(1+ipc!J27)^(ipc!J$6)-1)</f>
        <v>0.1972670296927983</v>
      </c>
      <c r="H27">
        <f>+IF(ipc!K27="","",(1+ipc!K27)^(ipc!K$6)-1)</f>
        <v>0.23359475958262288</v>
      </c>
      <c r="I27" t="str">
        <f>+IF(ipc!L27="","",(1+ipc!L27)^(ipc!L$6)-1)</f>
        <v/>
      </c>
      <c r="J27" t="str">
        <f>+IF(ipc!M27="","",(1+ipc!M27)^(ipc!M$6)-1)</f>
        <v/>
      </c>
      <c r="K27" t="str">
        <f>+IF(ipc!N27="","",(1+ipc!N27)^(ipc!N$6)-1)</f>
        <v/>
      </c>
      <c r="L27" t="str">
        <f>+IF(ipc!O27="","",(1+ipc!O27)^(ipc!O$6)-1)</f>
        <v/>
      </c>
      <c r="M27" t="str">
        <f>+IF(ipc!P27="","",(1+ipc!P27)^(ipc!P$6)-1)</f>
        <v/>
      </c>
      <c r="N27" t="str">
        <f>+IF(ipc!Q27="","",(1+ipc!Q27)^(ipc!Q$6)-1)</f>
        <v/>
      </c>
      <c r="O27" t="str">
        <f>+IF(ipc!R27="","",(1+ipc!R27)^(ipc!R$6)-1)</f>
        <v/>
      </c>
      <c r="P27" t="str">
        <f>+IF(ipc!S27="","",(1+ipc!S27)^(ipc!S$6)-1)</f>
        <v/>
      </c>
      <c r="Q27" t="str">
        <f>+IF(ipc!T27="","",(1+ipc!T27)^(ipc!T$6)-1)</f>
        <v/>
      </c>
      <c r="R27" t="str">
        <f>+IF(ipc!U27="","",(1+ipc!U27)^(ipc!U$6)-1)</f>
        <v/>
      </c>
      <c r="S27" t="str">
        <f>+IF(ipc!V27="","",(1+ipc!V27)^(ipc!V$6)-1)</f>
        <v/>
      </c>
      <c r="T27" t="str">
        <f>+IF(ipc!W27="","",(1+ipc!W27)^(ipc!W$6)-1)</f>
        <v/>
      </c>
      <c r="U27" t="str">
        <f>+IF(ipc!X27="","",(1+ipc!X27)^(ipc!X$6)-1)</f>
        <v/>
      </c>
    </row>
    <row r="28" spans="1:21" x14ac:dyDescent="0.3">
      <c r="A28">
        <f>+ipc!A28</f>
        <v>2020</v>
      </c>
      <c r="B28">
        <f>+IF(ipc!E28="","",(1+ipc!E28)^(ipc!E$6)-1)</f>
        <v>-5.402650356778782E-3</v>
      </c>
      <c r="C28">
        <f>+IF(ipc!F28="","",(1+ipc!F28)^(ipc!F$6)-1)</f>
        <v>5.9836901121304686E-2</v>
      </c>
      <c r="D28">
        <f>+IF(ipc!G28="","",(1+ipc!G28)^(ipc!G$6)-1)</f>
        <v>0.12028542303771639</v>
      </c>
      <c r="E28">
        <f>+IF(ipc!H28="","",(1+ipc!H28)^(ipc!H$6)-1)</f>
        <v>0.15504587155963345</v>
      </c>
      <c r="F28">
        <f>+IF(ipc!I28="","",(1+ipc!I28)^(ipc!I$6)-1)</f>
        <v>0.18786952089704467</v>
      </c>
      <c r="G28">
        <f>+IF(ipc!J28="","",(1+ipc!J28)^(ipc!J$6)-1)</f>
        <v>0.22391210958386121</v>
      </c>
      <c r="H28" t="str">
        <f>+IF(ipc!K28="","",(1+ipc!K28)^(ipc!K$6)-1)</f>
        <v/>
      </c>
      <c r="I28" t="str">
        <f>+IF(ipc!L28="","",(1+ipc!L28)^(ipc!L$6)-1)</f>
        <v/>
      </c>
      <c r="J28" t="str">
        <f>+IF(ipc!M28="","",(1+ipc!M28)^(ipc!M$6)-1)</f>
        <v/>
      </c>
      <c r="K28" t="str">
        <f>+IF(ipc!N28="","",(1+ipc!N28)^(ipc!N$6)-1)</f>
        <v/>
      </c>
      <c r="L28" t="str">
        <f>+IF(ipc!O28="","",(1+ipc!O28)^(ipc!O$6)-1)</f>
        <v/>
      </c>
      <c r="M28" t="str">
        <f>+IF(ipc!P28="","",(1+ipc!P28)^(ipc!P$6)-1)</f>
        <v/>
      </c>
      <c r="N28" t="str">
        <f>+IF(ipc!Q28="","",(1+ipc!Q28)^(ipc!Q$6)-1)</f>
        <v/>
      </c>
      <c r="O28" t="str">
        <f>+IF(ipc!R28="","",(1+ipc!R28)^(ipc!R$6)-1)</f>
        <v/>
      </c>
      <c r="P28" t="str">
        <f>+IF(ipc!S28="","",(1+ipc!S28)^(ipc!S$6)-1)</f>
        <v/>
      </c>
      <c r="Q28" t="str">
        <f>+IF(ipc!T28="","",(1+ipc!T28)^(ipc!T$6)-1)</f>
        <v/>
      </c>
      <c r="R28" t="str">
        <f>+IF(ipc!U28="","",(1+ipc!U28)^(ipc!U$6)-1)</f>
        <v/>
      </c>
      <c r="S28" t="str">
        <f>+IF(ipc!V28="","",(1+ipc!V28)^(ipc!V$6)-1)</f>
        <v/>
      </c>
      <c r="T28" t="str">
        <f>+IF(ipc!W28="","",(1+ipc!W28)^(ipc!W$6)-1)</f>
        <v/>
      </c>
      <c r="U28" t="str">
        <f>+IF(ipc!X28="","",(1+ipc!X28)^(ipc!X$6)-1)</f>
        <v/>
      </c>
    </row>
    <row r="29" spans="1:21" x14ac:dyDescent="0.3">
      <c r="A29">
        <f>+ipc!A29</f>
        <v>2021</v>
      </c>
      <c r="B29">
        <f>+IF(ipc!E29="","",(1+ipc!E29)^(ipc!E$6)-1)</f>
        <v>6.5593932561238244E-2</v>
      </c>
      <c r="C29">
        <f>+IF(ipc!F29="","",(1+ipc!F29)^(ipc!F$6)-1)</f>
        <v>0.12637081070001033</v>
      </c>
      <c r="D29">
        <f>+IF(ipc!G29="","",(1+ipc!G29)^(ipc!G$6)-1)</f>
        <v>0.16132007789279479</v>
      </c>
      <c r="E29">
        <f>+IF(ipc!H29="","",(1+ipc!H29)^(ipc!H$6)-1)</f>
        <v>0.19432202521266784</v>
      </c>
      <c r="F29">
        <f>+IF(ipc!I29="","",(1+ipc!I29)^(ipc!I$6)-1)</f>
        <v>0.23056039715257559</v>
      </c>
      <c r="G29" t="str">
        <f>+IF(ipc!J29="","",(1+ipc!J29)^(ipc!J$6)-1)</f>
        <v/>
      </c>
      <c r="H29" t="str">
        <f>+IF(ipc!K29="","",(1+ipc!K29)^(ipc!K$6)-1)</f>
        <v/>
      </c>
      <c r="I29" t="str">
        <f>+IF(ipc!L29="","",(1+ipc!L29)^(ipc!L$6)-1)</f>
        <v/>
      </c>
      <c r="J29" t="str">
        <f>+IF(ipc!M29="","",(1+ipc!M29)^(ipc!M$6)-1)</f>
        <v/>
      </c>
      <c r="K29" t="str">
        <f>+IF(ipc!N29="","",(1+ipc!N29)^(ipc!N$6)-1)</f>
        <v/>
      </c>
      <c r="L29" t="str">
        <f>+IF(ipc!O29="","",(1+ipc!O29)^(ipc!O$6)-1)</f>
        <v/>
      </c>
      <c r="M29" t="str">
        <f>+IF(ipc!P29="","",(1+ipc!P29)^(ipc!P$6)-1)</f>
        <v/>
      </c>
      <c r="N29" t="str">
        <f>+IF(ipc!Q29="","",(1+ipc!Q29)^(ipc!Q$6)-1)</f>
        <v/>
      </c>
      <c r="O29" t="str">
        <f>+IF(ipc!R29="","",(1+ipc!R29)^(ipc!R$6)-1)</f>
        <v/>
      </c>
      <c r="P29" t="str">
        <f>+IF(ipc!S29="","",(1+ipc!S29)^(ipc!S$6)-1)</f>
        <v/>
      </c>
      <c r="Q29" t="str">
        <f>+IF(ipc!T29="","",(1+ipc!T29)^(ipc!T$6)-1)</f>
        <v/>
      </c>
      <c r="R29" t="str">
        <f>+IF(ipc!U29="","",(1+ipc!U29)^(ipc!U$6)-1)</f>
        <v/>
      </c>
      <c r="S29" t="str">
        <f>+IF(ipc!V29="","",(1+ipc!V29)^(ipc!V$6)-1)</f>
        <v/>
      </c>
      <c r="T29" t="str">
        <f>+IF(ipc!W29="","",(1+ipc!W29)^(ipc!W$6)-1)</f>
        <v/>
      </c>
      <c r="U29" t="str">
        <f>+IF(ipc!X29="","",(1+ipc!X29)^(ipc!X$6)-1)</f>
        <v/>
      </c>
    </row>
    <row r="30" spans="1:21" x14ac:dyDescent="0.3">
      <c r="A30">
        <f>+ipc!A30</f>
        <v>2022</v>
      </c>
      <c r="B30">
        <f>+IF(ipc!E30="","",(1+ipc!E30)^(ipc!E$6)-1)</f>
        <v>5.7035683370203039E-2</v>
      </c>
      <c r="C30">
        <f>+IF(ipc!F30="","",(1+ipc!F30)^(ipc!F$6)-1)</f>
        <v>8.9833605847841058E-2</v>
      </c>
      <c r="D30">
        <f>+IF(ipc!G30="","",(1+ipc!G30)^(ipc!G$6)-1)</f>
        <v>0.12080407809945215</v>
      </c>
      <c r="E30">
        <f>+IF(ipc!H30="","",(1+ipc!H30)^(ipc!H$6)-1)</f>
        <v>0.15481175291119276</v>
      </c>
      <c r="F30" t="str">
        <f>+IF(ipc!I30="","",(1+ipc!I30)^(ipc!I$6)-1)</f>
        <v/>
      </c>
      <c r="G30" t="str">
        <f>+IF(ipc!J30="","",(1+ipc!J30)^(ipc!J$6)-1)</f>
        <v/>
      </c>
      <c r="H30" t="str">
        <f>+IF(ipc!K30="","",(1+ipc!K30)^(ipc!K$6)-1)</f>
        <v/>
      </c>
      <c r="I30" t="str">
        <f>+IF(ipc!L30="","",(1+ipc!L30)^(ipc!L$6)-1)</f>
        <v/>
      </c>
      <c r="J30" t="str">
        <f>+IF(ipc!M30="","",(1+ipc!M30)^(ipc!M$6)-1)</f>
        <v/>
      </c>
      <c r="K30" t="str">
        <f>+IF(ipc!N30="","",(1+ipc!N30)^(ipc!N$6)-1)</f>
        <v/>
      </c>
      <c r="L30" t="str">
        <f>+IF(ipc!O30="","",(1+ipc!O30)^(ipc!O$6)-1)</f>
        <v/>
      </c>
      <c r="M30" t="str">
        <f>+IF(ipc!P30="","",(1+ipc!P30)^(ipc!P$6)-1)</f>
        <v/>
      </c>
      <c r="N30" t="str">
        <f>+IF(ipc!Q30="","",(1+ipc!Q30)^(ipc!Q$6)-1)</f>
        <v/>
      </c>
      <c r="O30" t="str">
        <f>+IF(ipc!R30="","",(1+ipc!R30)^(ipc!R$6)-1)</f>
        <v/>
      </c>
      <c r="P30" t="str">
        <f>+IF(ipc!S30="","",(1+ipc!S30)^(ipc!S$6)-1)</f>
        <v/>
      </c>
      <c r="Q30" t="str">
        <f>+IF(ipc!T30="","",(1+ipc!T30)^(ipc!T$6)-1)</f>
        <v/>
      </c>
      <c r="R30" t="str">
        <f>+IF(ipc!U30="","",(1+ipc!U30)^(ipc!U$6)-1)</f>
        <v/>
      </c>
      <c r="S30" t="str">
        <f>+IF(ipc!V30="","",(1+ipc!V30)^(ipc!V$6)-1)</f>
        <v/>
      </c>
      <c r="T30" t="str">
        <f>+IF(ipc!W30="","",(1+ipc!W30)^(ipc!W$6)-1)</f>
        <v/>
      </c>
      <c r="U30" t="str">
        <f>+IF(ipc!X30="","",(1+ipc!X30)^(ipc!X$6)-1)</f>
        <v/>
      </c>
    </row>
    <row r="31" spans="1:21" x14ac:dyDescent="0.3">
      <c r="A31">
        <f>+ipc!A31</f>
        <v>2023</v>
      </c>
      <c r="B31">
        <f>+IF(ipc!E31="","",(1+ipc!E31)^(ipc!E$6)-1)</f>
        <v>3.1028207461328394E-2</v>
      </c>
      <c r="C31">
        <f>+IF(ipc!F31="","",(1+ipc!F31)^(ipc!F$6)-1)</f>
        <v>6.0327570518653229E-2</v>
      </c>
      <c r="D31">
        <f>+IF(ipc!G31="","",(1+ipc!G31)^(ipc!G$6)-1)</f>
        <v>9.2500254323718556E-2</v>
      </c>
      <c r="E31" t="str">
        <f>+IF(ipc!H31="","",(1+ipc!H31)^(ipc!H$6)-1)</f>
        <v/>
      </c>
      <c r="F31" t="str">
        <f>+IF(ipc!I31="","",(1+ipc!I31)^(ipc!I$6)-1)</f>
        <v/>
      </c>
      <c r="G31" t="str">
        <f>+IF(ipc!J31="","",(1+ipc!J31)^(ipc!J$6)-1)</f>
        <v/>
      </c>
      <c r="H31" t="str">
        <f>+IF(ipc!K31="","",(1+ipc!K31)^(ipc!K$6)-1)</f>
        <v/>
      </c>
      <c r="I31" t="str">
        <f>+IF(ipc!L31="","",(1+ipc!L31)^(ipc!L$6)-1)</f>
        <v/>
      </c>
      <c r="J31" t="str">
        <f>+IF(ipc!M31="","",(1+ipc!M31)^(ipc!M$6)-1)</f>
        <v/>
      </c>
      <c r="K31" t="str">
        <f>+IF(ipc!N31="","",(1+ipc!N31)^(ipc!N$6)-1)</f>
        <v/>
      </c>
      <c r="L31" t="str">
        <f>+IF(ipc!O31="","",(1+ipc!O31)^(ipc!O$6)-1)</f>
        <v/>
      </c>
      <c r="M31" t="str">
        <f>+IF(ipc!P31="","",(1+ipc!P31)^(ipc!P$6)-1)</f>
        <v/>
      </c>
      <c r="N31" t="str">
        <f>+IF(ipc!Q31="","",(1+ipc!Q31)^(ipc!Q$6)-1)</f>
        <v/>
      </c>
      <c r="O31" t="str">
        <f>+IF(ipc!R31="","",(1+ipc!R31)^(ipc!R$6)-1)</f>
        <v/>
      </c>
      <c r="P31" t="str">
        <f>+IF(ipc!S31="","",(1+ipc!S31)^(ipc!S$6)-1)</f>
        <v/>
      </c>
      <c r="Q31" t="str">
        <f>+IF(ipc!T31="","",(1+ipc!T31)^(ipc!T$6)-1)</f>
        <v/>
      </c>
      <c r="R31" t="str">
        <f>+IF(ipc!U31="","",(1+ipc!U31)^(ipc!U$6)-1)</f>
        <v/>
      </c>
      <c r="S31" t="str">
        <f>+IF(ipc!V31="","",(1+ipc!V31)^(ipc!V$6)-1)</f>
        <v/>
      </c>
      <c r="T31" t="str">
        <f>+IF(ipc!W31="","",(1+ipc!W31)^(ipc!W$6)-1)</f>
        <v/>
      </c>
      <c r="U31" t="str">
        <f>+IF(ipc!X31="","",(1+ipc!X31)^(ipc!X$6)-1)</f>
        <v/>
      </c>
    </row>
    <row r="32" spans="1:21" x14ac:dyDescent="0.3">
      <c r="A32">
        <f>+ipc!A32</f>
        <v>2024</v>
      </c>
      <c r="B32">
        <f>+IF(ipc!E32="","",(1+ipc!E32)^(ipc!E$6)-1)</f>
        <v>2.8417615391404194E-2</v>
      </c>
      <c r="C32">
        <f>+IF(ipc!F32="","",(1+ipc!F32)^(ipc!F$6)-1)</f>
        <v>5.9622080576972269E-2</v>
      </c>
      <c r="D32" t="str">
        <f>+IF(ipc!G32="","",(1+ipc!G32)^(ipc!G$6)-1)</f>
        <v/>
      </c>
      <c r="E32" t="str">
        <f>+IF(ipc!H32="","",(1+ipc!H32)^(ipc!H$6)-1)</f>
        <v/>
      </c>
      <c r="F32" t="str">
        <f>+IF(ipc!I32="","",(1+ipc!I32)^(ipc!I$6)-1)</f>
        <v/>
      </c>
      <c r="G32" t="str">
        <f>+IF(ipc!J32="","",(1+ipc!J32)^(ipc!J$6)-1)</f>
        <v/>
      </c>
      <c r="H32" t="str">
        <f>+IF(ipc!K32="","",(1+ipc!K32)^(ipc!K$6)-1)</f>
        <v/>
      </c>
      <c r="I32" t="str">
        <f>+IF(ipc!L32="","",(1+ipc!L32)^(ipc!L$6)-1)</f>
        <v/>
      </c>
      <c r="J32" t="str">
        <f>+IF(ipc!M32="","",(1+ipc!M32)^(ipc!M$6)-1)</f>
        <v/>
      </c>
      <c r="K32" t="str">
        <f>+IF(ipc!N32="","",(1+ipc!N32)^(ipc!N$6)-1)</f>
        <v/>
      </c>
      <c r="L32" t="str">
        <f>+IF(ipc!O32="","",(1+ipc!O32)^(ipc!O$6)-1)</f>
        <v/>
      </c>
      <c r="M32" t="str">
        <f>+IF(ipc!P32="","",(1+ipc!P32)^(ipc!P$6)-1)</f>
        <v/>
      </c>
      <c r="N32" t="str">
        <f>+IF(ipc!Q32="","",(1+ipc!Q32)^(ipc!Q$6)-1)</f>
        <v/>
      </c>
      <c r="O32" t="str">
        <f>+IF(ipc!R32="","",(1+ipc!R32)^(ipc!R$6)-1)</f>
        <v/>
      </c>
      <c r="P32" t="str">
        <f>+IF(ipc!S32="","",(1+ipc!S32)^(ipc!S$6)-1)</f>
        <v/>
      </c>
      <c r="Q32" t="str">
        <f>+IF(ipc!T32="","",(1+ipc!T32)^(ipc!T$6)-1)</f>
        <v/>
      </c>
      <c r="R32" t="str">
        <f>+IF(ipc!U32="","",(1+ipc!U32)^(ipc!U$6)-1)</f>
        <v/>
      </c>
      <c r="S32" t="str">
        <f>+IF(ipc!V32="","",(1+ipc!V32)^(ipc!V$6)-1)</f>
        <v/>
      </c>
      <c r="T32" t="str">
        <f>+IF(ipc!W32="","",(1+ipc!W32)^(ipc!W$6)-1)</f>
        <v/>
      </c>
      <c r="U32" t="str">
        <f>+IF(ipc!X32="","",(1+ipc!X32)^(ipc!X$6)-1)</f>
        <v/>
      </c>
    </row>
    <row r="33" spans="1:21" x14ac:dyDescent="0.3">
      <c r="A33">
        <f>+ipc!A33</f>
        <v>2025</v>
      </c>
      <c r="B33">
        <f>+IF(ipc!E33="","",(1+ipc!E33)^(ipc!E$6)-1)</f>
        <v>3.034221187828634E-2</v>
      </c>
      <c r="C33" t="str">
        <f>+IF(ipc!F33="","",(1+ipc!F33)^(ipc!F$6)-1)</f>
        <v/>
      </c>
      <c r="D33" t="str">
        <f>+IF(ipc!G33="","",(1+ipc!G33)^(ipc!G$6)-1)</f>
        <v/>
      </c>
      <c r="E33" t="str">
        <f>+IF(ipc!H33="","",(1+ipc!H33)^(ipc!H$6)-1)</f>
        <v/>
      </c>
      <c r="F33" t="str">
        <f>+IF(ipc!I33="","",(1+ipc!I33)^(ipc!I$6)-1)</f>
        <v/>
      </c>
      <c r="G33" t="str">
        <f>+IF(ipc!J33="","",(1+ipc!J33)^(ipc!J$6)-1)</f>
        <v/>
      </c>
      <c r="H33" t="str">
        <f>+IF(ipc!K33="","",(1+ipc!K33)^(ipc!K$6)-1)</f>
        <v/>
      </c>
      <c r="I33" t="str">
        <f>+IF(ipc!L33="","",(1+ipc!L33)^(ipc!L$6)-1)</f>
        <v/>
      </c>
      <c r="J33" t="str">
        <f>+IF(ipc!M33="","",(1+ipc!M33)^(ipc!M$6)-1)</f>
        <v/>
      </c>
      <c r="K33" t="str">
        <f>+IF(ipc!N33="","",(1+ipc!N33)^(ipc!N$6)-1)</f>
        <v/>
      </c>
      <c r="L33" t="str">
        <f>+IF(ipc!O33="","",(1+ipc!O33)^(ipc!O$6)-1)</f>
        <v/>
      </c>
      <c r="M33" t="str">
        <f>+IF(ipc!P33="","",(1+ipc!P33)^(ipc!P$6)-1)</f>
        <v/>
      </c>
      <c r="N33" t="str">
        <f>+IF(ipc!Q33="","",(1+ipc!Q33)^(ipc!Q$6)-1)</f>
        <v/>
      </c>
      <c r="O33" t="str">
        <f>+IF(ipc!R33="","",(1+ipc!R33)^(ipc!R$6)-1)</f>
        <v/>
      </c>
      <c r="P33" t="str">
        <f>+IF(ipc!S33="","",(1+ipc!S33)^(ipc!S$6)-1)</f>
        <v/>
      </c>
      <c r="Q33" t="str">
        <f>+IF(ipc!T33="","",(1+ipc!T33)^(ipc!T$6)-1)</f>
        <v/>
      </c>
      <c r="R33" t="str">
        <f>+IF(ipc!U33="","",(1+ipc!U33)^(ipc!U$6)-1)</f>
        <v/>
      </c>
      <c r="S33" t="str">
        <f>+IF(ipc!V33="","",(1+ipc!V33)^(ipc!V$6)-1)</f>
        <v/>
      </c>
      <c r="T33" t="str">
        <f>+IF(ipc!W33="","",(1+ipc!W33)^(ipc!W$6)-1)</f>
        <v/>
      </c>
      <c r="U33" t="str">
        <f>+IF(ipc!X33="","",(1+ipc!X33)^(ipc!X$6)-1)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bono 10a esp</vt:lpstr>
      <vt:lpstr>ipc</vt:lpstr>
      <vt:lpstr>selec10a</vt:lpstr>
      <vt:lpstr>selecipc</vt:lpstr>
    </vt:vector>
  </TitlesOfParts>
  <Company>Universidad Carlos III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González Pablo Jesús</dc:creator>
  <cp:lastModifiedBy>Alonso González Pablo Jesús</cp:lastModifiedBy>
  <dcterms:created xsi:type="dcterms:W3CDTF">2026-01-28T17:13:09Z</dcterms:created>
  <dcterms:modified xsi:type="dcterms:W3CDTF">2026-04-11T09:41:00Z</dcterms:modified>
</cp:coreProperties>
</file>